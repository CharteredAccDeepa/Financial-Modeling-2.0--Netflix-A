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19.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18.xml.rels" ContentType="application/vnd.openxmlformats-package.relationship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Model Control" sheetId="2" state="visible" r:id="rId4"/>
    <sheet name="Assumptions" sheetId="3" state="visible" r:id="rId5"/>
    <sheet name="P&amp;L Input" sheetId="4" state="visible" r:id="rId6"/>
    <sheet name="Balance Sheet Input" sheetId="5" state="visible" r:id="rId7"/>
    <sheet name="CFS Input" sheetId="6" state="visible" r:id="rId8"/>
    <sheet name="Revenue Modelling" sheetId="7" state="visible" r:id="rId9"/>
    <sheet name="Other Items" sheetId="8" state="visible" r:id="rId10"/>
    <sheet name="Schedules" sheetId="9" state="visible" r:id="rId11"/>
    <sheet name="Debt" sheetId="10" state="visible" r:id="rId12"/>
    <sheet name="Proj Drivers" sheetId="11" state="visible" r:id="rId13"/>
    <sheet name="Proj Schedules" sheetId="12" state="visible" r:id="rId14"/>
    <sheet name="Projected PnL" sheetId="13" state="visible" r:id="rId15"/>
    <sheet name="Projected BS" sheetId="14" state="visible" r:id="rId16"/>
    <sheet name="Projected CFS" sheetId="15" state="visible" r:id="rId17"/>
    <sheet name="Checks" sheetId="16" state="visible" r:id="rId18"/>
    <sheet name="Chart Data" sheetId="17" state="visible" r:id="rId19"/>
    <sheet name="Charts" sheetId="18" state="visible" r:id="rId20"/>
    <sheet name="WACC" sheetId="19" state="visible" r:id="rId21"/>
    <sheet name="DCF" sheetId="20" state="visible" r:id="rId22"/>
  </sheet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We have to look for depreciation in the notes as it is an important element. The following was picked from the financials and not assumed</t>
        </r>
      </text>
    </comment>
    <comment ref="C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Reverse calculated the value using other factors available- opening and closing balance and depreciation</t>
        </r>
      </text>
    </comment>
    <comment ref="C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Current life= opening + caepex / depreciation = useful life</t>
        </r>
      </text>
    </comment>
    <comment ref="H2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4.5 is a good estimate since its close to 4.875% given in debt schedule- the very last payment</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Refer to the debt schedule, it needs to be the rate at which company has taken the latest loan/debt</t>
        </r>
      </text>
    </comment>
  </commentList>
</comments>
</file>

<file path=xl/sharedStrings.xml><?xml version="1.0" encoding="utf-8"?>
<sst xmlns="http://schemas.openxmlformats.org/spreadsheetml/2006/main" count="1201" uniqueCount="697">
  <si>
    <t xml:space="preserve">NETFLIX, INC.</t>
  </si>
  <si>
    <t xml:space="preserve">NASDAQ: NFLX  |  Independent Equity-Research-Style Financial Model</t>
  </si>
  <si>
    <t xml:space="preserve">Three-Statement Operating Model  •  Scenario Analysis (Worst / Neutral / Best)  •  DCF Valuation</t>
  </si>
  <si>
    <t xml:space="preserve">A bottom-up, three-statement model built from Netflix's FY2023-FY2025 actuals, with a live scenario engine (Worst / Neutral / Best) driving revenue, margins, working capital, and a DCF valuation. Built as a portfolio project to demonstrate FP&amp;A-style financial modeling: linked statements, sourced assumptions, and a documented audit trail -- not just a static forecast.</t>
  </si>
  <si>
    <t xml:space="preserve">Data source: FY2025 Form 10-K (SEC accession 0001065280-26-000034, filed 2026-01-23), covering FY2023-FY2025 actuals. Prepared July 2026.</t>
  </si>
  <si>
    <t xml:space="preserve">How to use this model</t>
  </si>
  <si>
    <t xml:space="preserve">1.  Set the scenario on the 'Model Control' tab (cell B3: pick Worst / Neutral / Best from the dropdown). This is the single master switch -- every tab updates from it.</t>
  </si>
  <si>
    <t xml:space="preserve">2.  'Assumptions' holds every driver with its rationale, sourced to the 10-K MD&amp;A where Netflix discloses one, and flagged where a figure is an analyst estimate. One tab, one format.</t>
  </si>
  <si>
    <t xml:space="preserve">3.  'Proj Drivers' resolves the selected scenario into single driver values; 'Proj Schedules' builds the supporting rollforwards (revenue by region, content assets, PP&amp;E, debt, working capital, equity).</t>
  </si>
  <si>
    <t xml:space="preserve">4.  'Projected PnL / BS / CFS' are the fully linked three-statement output. 'Checks' confirms the balance sheet balances and cash ties out under every scenario.</t>
  </si>
  <si>
    <t xml:space="preserve">5.  'WACC' and 'DCF' derive an intrinsic value per share and compare it to the market price.</t>
  </si>
  <si>
    <t xml:space="preserve">A note on methodology: why this model is revenue-driven, not subscriber-driven</t>
  </si>
  <si>
    <t xml:space="preserve">Netflix discontinued disclosing subscriber/membership counts starting with FY2025 (10-K, Revenue Note), stating that revenue and operating margin are now the primary metrics it uses to represent business performance. This model follows that same approach: revenue is built bottom-up by region (UCAN, EMEA, LATAM, APAC) using growth rates rather than subscriber-count x ARPU, consistent with how Netflix itself now reports and how sell-side analysts have adapted their models post-2025.</t>
  </si>
  <si>
    <t xml:space="preserve">Tab guide</t>
  </si>
  <si>
    <t xml:space="preserve">P&amp;L / Balance Sheet / CFS Input  —  Historical FY2023-FY2025 financial statements, sourced directly from the 10-K.</t>
  </si>
  <si>
    <t xml:space="preserve">Revenue Modelling  —  Historical revenue by region (UCAN/EMEA/LATAM/APAC) and DVD legacy revenue.</t>
  </si>
  <si>
    <t xml:space="preserve">Other Items  —  MD&amp;A commentary and ratio analysis underlying each forecast driver.</t>
  </si>
  <si>
    <t xml:space="preserve">Assumptions  —  Every scenario driver (revenue growth by region, cost ratios, working capital, tax) in one consistently-formatted tab: Worst/Neutral/Best/Selected.</t>
  </si>
  <si>
    <t xml:space="preserve">Model Control  —  Master scenario switch and single-point drivers (capex %, buybacks, etc.).</t>
  </si>
  <si>
    <t xml:space="preserve">Schedules  —  PP&amp;E and content-asset rollforwards; debt/interest cross-check.</t>
  </si>
  <si>
    <t xml:space="preserve">Debt  —  Senior notes detail, maturities, FY2025 rollforward, and interest cost, sourced to 10-K Note 7.</t>
  </si>
  <si>
    <t xml:space="preserve">Proj Drivers / Proj Schedules  —  Scenario-resolved drivers and supporting schedules feeding the 3 statements.</t>
  </si>
  <si>
    <t xml:space="preserve">Projected PnL / BS / CFS  —  Fully linked, formula-driven three-statement forecast, FY2026E-FY2030E.</t>
  </si>
  <si>
    <t xml:space="preserve">Checks  —  Balance sheet, cash, retained-earnings and cross-tab integrity checks.</t>
  </si>
  <si>
    <t xml:space="preserve">WACC  —  CAPM cost of equity, after-tax cost of debt, and weighted-average cost of capital.</t>
  </si>
  <si>
    <t xml:space="preserve">DCF  —  Unlevered free cash flow, terminal value, enterprise/equity value, and implied share price.</t>
  </si>
  <si>
    <t xml:space="preserve">Color legend</t>
  </si>
  <si>
    <t xml:space="preserve">Blue text — Hardcoded input / scenario lever / assumption.</t>
  </si>
  <si>
    <t xml:space="preserve">Black text — Formula calculated within the same tab.</t>
  </si>
  <si>
    <t xml:space="preserve">Green text — Formula linking to another tab.</t>
  </si>
  <si>
    <t xml:space="preserve">Yellow highlight — Key selected/output cell or scenario switch.</t>
  </si>
  <si>
    <t xml:space="preserve">Limitations &amp; disclosures</t>
  </si>
  <si>
    <t xml:space="preserve">This is an independent educational/portfolio exercise, not investment advice or an Anthropic/Wells Fargo work product. Forward projections rely on assumptions that will not hold exactly; beta, ERP, and market price are point-in-time estimates (sourced, July 2026) that should be refreshed before any real use. Content-asset and debt mechanics are simplified relative to Netflix's full disclosure.</t>
  </si>
  <si>
    <t xml:space="preserve">Charts &amp; scenario visuals</t>
  </si>
  <si>
    <t xml:space="preserve">'Chart Data' computes Worst/Neutral/Best in parallel (independent of the Model Control switch) so all three scenarios can be charted at once. 'Charts' holds 7 native, editable Excel charts: Revenue, Cost of Revenue, Operating Expenses, Operating Income, Net Profit, and Operating Margin % (each with 3 scenario lines), plus a regional revenue mix chart for the Neutral case.</t>
  </si>
  <si>
    <t xml:space="preserve">Model Control  —  Scenario Selector &amp; Projection Assumptions</t>
  </si>
  <si>
    <t xml:space="preserve">NOTE: This is the single master scenario switch for the whole model (drives Assumptions, Proj Drivers, Chart Data, and every projected statement).</t>
  </si>
  <si>
    <t xml:space="preserve">Select Scenario (dropdown) -&gt;</t>
  </si>
  <si>
    <t xml:space="preserve">Neutral</t>
  </si>
  <si>
    <t xml:space="preserve">(numeric index -- every CHOOSE() formula in the model reads this cell; do not edit directly, use the dropdown in B3)</t>
  </si>
  <si>
    <t xml:space="preserve">Active scenario</t>
  </si>
  <si>
    <t xml:space="preserve">Single-point operating drivers (not scenario-varied; not year-by-year) -- see Assumptions tab for all scenario-driven % drivers</t>
  </si>
  <si>
    <t xml:space="preserve">Capex as % of revenue</t>
  </si>
  <si>
    <t xml:space="preserve">Depreciation as % of opening PP&amp;E</t>
  </si>
  <si>
    <t xml:space="preserve">&lt;- corrected: was hardcoded at 7.0%, a 3x understatement vs the actual 2025A ratio; now a live formula.</t>
  </si>
  <si>
    <t xml:space="preserve">Content amortization as % of opening content</t>
  </si>
  <si>
    <t xml:space="preserve">Current content liabilities as % of revenue</t>
  </si>
  <si>
    <t xml:space="preserve">Non-current content liabilities as % of revenue</t>
  </si>
  <si>
    <t xml:space="preserve">Other non-current assets as % of revenue</t>
  </si>
  <si>
    <t xml:space="preserve">Other non-current liabilities as % of revenue</t>
  </si>
  <si>
    <t xml:space="preserve">Stock-based compensation as % of revenue</t>
  </si>
  <si>
    <t xml:space="preserve">Stock issuance proceeds as % of revenue</t>
  </si>
  <si>
    <t xml:space="preserve">Debt weighted-average interest rate</t>
  </si>
  <si>
    <t xml:space="preserve">&lt;- corrected: was a hardcoded flat 5.0% guess; now linked to the Debt tab's actual note-by-note weighted-average rate (4.76%).</t>
  </si>
  <si>
    <t xml:space="preserve">Short-term investments (held flat)</t>
  </si>
  <si>
    <t xml:space="preserve">Share repurchases (capital-return policy) by year — KEY INPUT</t>
  </si>
  <si>
    <t xml:space="preserve">2026E</t>
  </si>
  <si>
    <t xml:space="preserve">2027E</t>
  </si>
  <si>
    <t xml:space="preserve">2028E</t>
  </si>
  <si>
    <t xml:space="preserve">2029E</t>
  </si>
  <si>
    <t xml:space="preserve">2030E</t>
  </si>
  <si>
    <t xml:space="preserve">Buybacks</t>
  </si>
  <si>
    <t xml:space="preserve">Netflix, Inc. — Assumptions (single source of truth for all scenario drivers)</t>
  </si>
  <si>
    <t xml:space="preserve">Percent drivers stored as fractions; $ drivers in USD thousands. Source: FY2025 Form 10-K MD&amp;A unless flagged as analyst estimate. The model reads only the "Selected" row of each block, which follows Model Control!B3.</t>
  </si>
  <si>
    <t xml:space="preserve">UCAN Revenue Growth %</t>
  </si>
  <si>
    <t xml:space="preserve">UCAN grew 15.0%-16.7% in 2024-2025, but that was inflated by two one-time catalysts: the 2023 paid-sharing crackdown converting freeloaders to payers, and the ad-tier ramping from launch. UCAN is Netflix's most penetrated market, so Neutral (5%) assumes that tailwind fades and growth reverts to a price-led, low-single-to-mid-single-digit pace. Worst (3%) reflects price-increase pushback/churn or a weaker ad-tier ramp; Best (7%) assumes stronger pricing power and live-sports/events engagement than the base case.</t>
  </si>
  <si>
    <t xml:space="preserve">Scenario</t>
  </si>
  <si>
    <t xml:space="preserve">2025A</t>
  </si>
  <si>
    <t xml:space="preserve">Worst</t>
  </si>
  <si>
    <t xml:space="preserve">Best</t>
  </si>
  <si>
    <t xml:space="preserve">Selected (drives model)</t>
  </si>
  <si>
    <t xml:space="preserve">EMEA Revenue Growth %</t>
  </si>
  <si>
    <t xml:space="preserve">EMEA grew 17.2%-17.3% in 2024-2025, aided by the same paid-sharing/ad-tier tailwinds as UCAN, but off a lower penetration base with more runway. Neutral (9%) assumes roughly half the trailing rate persists as the denominator grows and the one-time boost fades. Worst (6%) reflects European macro softness or FX drag on reported USD revenue; Best (12%) assumes penetration gains continue closer to the trailing pace.</t>
  </si>
  <si>
    <t xml:space="preserve">LATAM Revenue Growth %</t>
  </si>
  <si>
    <t xml:space="preserve">LATAM grew 8.8%-10.7% in 2024-2025, the slowest major region historically due to price sensitivity and FX volatility (Brazil, Argentina). Neutral (8%) is close to trailing, since LATAM didn't see as large a one-time step-up. Worst (5%) reflects currency devaluation and local-competitor pricing pressure; Best (11%) assumes continued household growth without a major FX shock.</t>
  </si>
  <si>
    <t xml:space="preserve">APAC Revenue Growth %</t>
  </si>
  <si>
    <t xml:space="preserve">APAC grew 17.3%-21.3% in 2024-2025, the fastest-accelerating region, off the lowest penetration base (India, Japan, Korea are still under-penetrated). Neutral (12%) assumes deceleration from the 2025 peak as comps normalize, but keeps APAC as the highest-growth region since whitespace is real, not just a one-time conversion effect. Worst (8%) reflects slower India monetization or local-content underperformance; Best (16%) assumes the 2025 pace largely holds.</t>
  </si>
  <si>
    <t xml:space="preserve">Content Spend (Additions) Growth %</t>
  </si>
  <si>
    <t xml:space="preserve">Content spend is not separately guided by Netflix, so this is modeled as a rate relative to revenue growth, not an independent estimate. Neutral (10%) tracks below Neutral revenue growth (7-9%), consistent with content spend growing but content cost intensity gradually declining as the library monetizes over more subscribers. Worst (15%) assumes content cost inflation (competitive bidding for sports/marquee titles) outpaces revenue; Best (7%) assumes tighter content ROI discipline.</t>
  </si>
  <si>
    <t xml:space="preserve">Cost of Revenues (% of Revenue)</t>
  </si>
  <si>
    <t xml:space="preserve">Cost of revenue was 51.5% of revenue in 2025A (2025A cell is now a live formula, not hardcoded, so it can never drift from the historicals again). Netflix has publicly guided toward continued operating margin expansion as the platform scales. Neutral assumes ~25-30bps/year of leverage (51.5% to ~50.0% by 2030). Worst assumes leverage stalls and the ratio drifts up (~52.5% by 2030) from content-cost inflation or competitive spend; Best assumes leverage accelerates (~48.3%) if ad-tier and live content scale efficiently against largely fixed platform costs.</t>
  </si>
  <si>
    <t xml:space="preserve">Sales &amp; Marketing (% of Revenue)</t>
  </si>
  <si>
    <t xml:space="preserve">S&amp;M was 7.3% of revenue in 2025A (live formula). Neutral assumes modest leverage (7.3% to 6.8%) as brand awareness matures. Worst (7.3% to 8.3%) assumes continued heavy ad-sales investment without payoff; Best (7.3% to 6.0%) assumes the ad business reaches scale efficiency faster than the base case.</t>
  </si>
  <si>
    <t xml:space="preserve">Technology &amp; Development (% of Revenue)</t>
  </si>
  <si>
    <t xml:space="preserve">Tech &amp; Dev was 7.5% of revenue in 2025A (live formula). Neutral assumes slow leverage (7.5% to 7.1%). Worst (7.5% to 8.3%) assumes continued heavy ad-tech/gaming investment without leverage; Best (7.5% to 6.7%) assumes platform investment plateaus while revenue keeps growing.</t>
  </si>
  <si>
    <t xml:space="preserve">General &amp; Administrative (% of Revenue)</t>
  </si>
  <si>
    <t xml:space="preserve">G&amp;A was 4.2% of revenue in 2025A (live formula; 2025 elevated by WBD-transaction-related costs, treated as non-recurring). Neutral assumes leverage back toward historical norms (4.2% to 3.7%). Worst (4.2% to 5.0%) assumes continued elevated legal/M&amp;A-related costs; Best (4.2% to 3.2%) assumes a clean reversion.</t>
  </si>
  <si>
    <t xml:space="preserve">Other Current Assets (% of Revenue)</t>
  </si>
  <si>
    <t xml:space="preserve">Other current assets were 8.8% of revenue in 2025A (live formula). A working-capital ratio, not a business driver -- Neutral holds it roughly flat (8.8% to 8.3%). Worst/Best reflect modest working-capital efficiency swings rather than a distinct business thesis.</t>
  </si>
  <si>
    <t xml:space="preserve">Accounts Payable -- Days Payable Outstanding (DPO)</t>
  </si>
  <si>
    <t xml:space="preserve">DPO was 14.1 days in 2025A. Neutral assumes stable payment-cycle management (14.1 to 14.5 days). Worst (14.1 to 12.8 days, i.e. paying suppliers faster / less favorable terms) reflects tighter supplier negotiating leverage in a downside scenario; Best (14.1 to 15.5 days) assumes Netflix extends payment terms as its scale/negotiating power grows -- a modest working-capital tailwind.</t>
  </si>
  <si>
    <t xml:space="preserve">Accrued Expenses &amp; Other Liabilities (% of Revenue)</t>
  </si>
  <si>
    <t xml:space="preserve">Accrued expenses were 7.1% of revenue in 2025A (live formula). Modeled with the same direction/magnitude as S&amp;M for consistency: Neutral 7.1% to 6.7%, Worst 7.1% to 8.1%, Best 7.1% to 6.1%.</t>
  </si>
  <si>
    <t xml:space="preserve">Deferred Revenue (% of Revenue)</t>
  </si>
  <si>
    <t xml:space="preserve">Deferred revenue was 3.9% of revenue in 2025A (live formula) -- structurally one of the most stable ratios in the model given monthly-in-advance subscription billing. Neutral holds it essentially flat (3.9% to 3.8%).</t>
  </si>
  <si>
    <t xml:space="preserve">Interest &amp; Other Income (Expense), $000s</t>
  </si>
  <si>
    <t xml:space="preserve">This line is FX-remeasurement and investment-income driven, which Netflix does not forecast and which is not systematically related to the operating scenario -- it is the least defensible line in the model on a bottom-up basis. Rather than build a detailed FX forecast, Worst/Neutral/Best are set directionally (unfavorable/neutral/favorable) around the 2025A actual of $172.5mm, and held small relative to EBT (under 2% of operating income in every year) so it does not meaningfully drive the scenario spread.</t>
  </si>
  <si>
    <t xml:space="preserve">Effective Tax Rate %</t>
  </si>
  <si>
    <t xml:space="preserve">The effective tax rate was 13.7% in 2025A (live formula; federal R&amp;D credit and SBC excess tax benefits held it below the ~21% statutory rate). Neutral holds this flat at 13.7%. Worst (13.7% to 16.7%) reflects the 10-K's own stated driver of the 2025 increase -- a lower R&amp;D credit benefit -- continuing further; Best (13.7% to 12.2%) assumes the credit benefit improves.</t>
  </si>
  <si>
    <t xml:space="preserve">Row map (Selected row for each driver -- columns C:H = 2025A:2030E):</t>
  </si>
  <si>
    <t xml:space="preserve">UCAN: row 10</t>
  </si>
  <si>
    <t xml:space="preserve">EMEA: row 18</t>
  </si>
  <si>
    <t xml:space="preserve">LATAM: row 26</t>
  </si>
  <si>
    <t xml:space="preserve">APAC: row 34</t>
  </si>
  <si>
    <t xml:space="preserve">CONTENT_SPEND: row 42</t>
  </si>
  <si>
    <t xml:space="preserve">COGS: row 50</t>
  </si>
  <si>
    <t xml:space="preserve">MKT: row 58</t>
  </si>
  <si>
    <t xml:space="preserve">TND: row 66</t>
  </si>
  <si>
    <t xml:space="preserve">GA: row 74</t>
  </si>
  <si>
    <t xml:space="preserve">OCA: row 82</t>
  </si>
  <si>
    <t xml:space="preserve">DPO: row 90</t>
  </si>
  <si>
    <t xml:space="preserve">ACCRUED: row 98</t>
  </si>
  <si>
    <t xml:space="preserve">DEFREV: row 106</t>
  </si>
  <si>
    <t xml:space="preserve">OTHINC: row 114</t>
  </si>
  <si>
    <t xml:space="preserve">TAX: row 122</t>
  </si>
  <si>
    <t xml:space="preserve">SCENARIO-SETTING METHODOLOGY — how Worst / Neutral / Best were derived</t>
  </si>
  <si>
    <t xml:space="preserve">1. Neutral is not a guess -- it is an explicit reversion call, not a straight-line extrapolation.</t>
  </si>
  <si>
    <t xml:space="preserve">For every revenue and margin driver, Neutral starts from the 2025A actual ratio/rate and moves toward a level the 10-K's own MD&amp;A commentary points to -- e.g. revenue growth rates are trimmed below their trailing pace because 2023-2025 growth was inflated by two one-time catalysts (the paid-sharing crackdown and the ad-tier launch ramp), and margin lines move in the direction Netflix has publicly guided (gradual operating margin expansion) rather than assuming it continues at the same pace indefinitely. Nothing in Neutral is a round number chosen for convenience; every one has a one-line reason in the block above it.</t>
  </si>
  <si>
    <t xml:space="preserve">2. Worst and Best are built as a named-risk / named-catalyst band around Neutral, not a fixed +/- percentage.</t>
  </si>
  <si>
    <t xml:space="preserve">Each Worst case reflects a specific, articulable downside (e.g. price-increase pushback and subscriber churn for UCAN; content-cost inflation for Cost of Revenue; a lower R&amp;D tax credit for the tax rate). Each Best case reflects a specific upside (e.g. stronger live-sports/events engagement; ad-tier scale efficiency; a cleaner reversion of one-time 2025 costs). The band is intentionally asymmetric where the underlying risk is asymmetric -- for example UCAN's downside is smaller in absolute terms than its upside because it is already the most mature, lowest-growth region.</t>
  </si>
  <si>
    <t xml:space="preserve">3. Not every line is equally well-grounded -- this is disclosed, not hidden.</t>
  </si>
  <si>
    <t xml:space="preserve">Revenue growth, Cost of Revenue, and Tax Rate are the most defensible lines: they tie directly to figures and language in the FY2025 10-K MD&amp;A. Working-capital ratios (Other Current Assets, DPO, Accrued Expenses, Deferred Revenue) are held close to flat because they are mechanical, not strategic, and a 10-K doesn't guide on them. Interest &amp; Other Income is the weakest line in the model on a bottom-up basis -- it is FX/derivative-driven and Netflix does not forecast it, so it is set directionally rather than derived, and deliberately kept small enough (under 2% of operating income) that it cannot meaningfully swing the scenario spread. This is called out explicitly in that block's note rather than presented with false precision.</t>
  </si>
  <si>
    <t xml:space="preserve">4. What would make this stronger, if presenting formally:</t>
  </si>
  <si>
    <t xml:space="preserve">- Cross-check UCAN/EMEA/LATAM/APAC growth against sell-side consensus estimates (not in this model) to pressure-test the deceleration assumption.</t>
  </si>
  <si>
    <t xml:space="preserve">- Build a small paid-sharing/ad-tier 'catalyst fade' schedule instead of a flat haircut, to make the Neutral deceleration path itself formula-driven rather than a judgment call.</t>
  </si>
  <si>
    <t xml:space="preserve">- Replace the Interest &amp; Other Income placeholder with a simple cash-and-debt-balance-driven estimate, since that data already exists in the Debt and Schedules tabs.</t>
  </si>
  <si>
    <t xml:space="preserve">P&amp;L Statement</t>
  </si>
  <si>
    <t xml:space="preserve">(in thousands, except per share data)</t>
  </si>
  <si>
    <t xml:space="preserve">Revenues</t>
  </si>
  <si>
    <t xml:space="preserve">Cost of revenues</t>
  </si>
  <si>
    <t xml:space="preserve">Sales and marketing</t>
  </si>
  <si>
    <t xml:space="preserve">Technology and development</t>
  </si>
  <si>
    <t xml:space="preserve">General and administrative</t>
  </si>
  <si>
    <t xml:space="preserve">Operating income</t>
  </si>
  <si>
    <t xml:space="preserve">Other income (expense):</t>
  </si>
  <si>
    <t xml:space="preserve">Interest expense</t>
  </si>
  <si>
    <t xml:space="preserve">Interest and other income (expense)</t>
  </si>
  <si>
    <t xml:space="preserve">Income before income taxes</t>
  </si>
  <si>
    <t xml:space="preserve">Provision for income taxes</t>
  </si>
  <si>
    <t xml:space="preserve">Net income</t>
  </si>
  <si>
    <t xml:space="preserve">Earnings per share:</t>
  </si>
  <si>
    <t xml:space="preserve">Basic</t>
  </si>
  <si>
    <t xml:space="preserve">Diluted</t>
  </si>
  <si>
    <t xml:space="preserve">Weighted-average shares of common stock outstanding:</t>
  </si>
  <si>
    <t xml:space="preserve">4,415,712 </t>
  </si>
  <si>
    <t xml:space="preserve">4,295,191 </t>
  </si>
  <si>
    <t xml:space="preserve">4,249,512 </t>
  </si>
  <si>
    <t xml:space="preserve">4,494,966 </t>
  </si>
  <si>
    <t xml:space="preserve">4,392,608 </t>
  </si>
  <si>
    <t xml:space="preserve">4,343,863 </t>
  </si>
  <si>
    <t xml:space="preserve">Other comprehensive income (loss):</t>
  </si>
  <si>
    <t xml:space="preserve">Foreign currency translation adjustments, net of income tax benefit (expense) of $33 million, $(7) million, and $0, respectively</t>
  </si>
  <si>
    <t xml:space="preserve">Net change in unrealized gains (losses) on available-for-sale securities, net of income tax benefit (expense) of $1 million, $(1) million, and $0, respectively</t>
  </si>
  <si>
    <t xml:space="preserve">Cash flow hedges:</t>
  </si>
  <si>
    <t xml:space="preserve">Net unrealized gains (losses)</t>
  </si>
  <si>
    <t xml:space="preserve">Reclassification of net (gains) losses included in net income</t>
  </si>
  <si>
    <t xml:space="preserve">Net change, net of income tax benefit (expense) of $301 million, $(246) million, and $36 million, respectively</t>
  </si>
  <si>
    <t xml:space="preserve">Fair value hedges:</t>
  </si>
  <si>
    <t xml:space="preserve">Net change in unrealized gains (losses) excluded from the assessment of effectiveness, net of income tax benefit (expense) of $3 million, $(2) million, and $0, respectively</t>
  </si>
  <si>
    <t xml:space="preserve">Total other comprehensive income (loss)</t>
  </si>
  <si>
    <t xml:space="preserve">Comprehensive income</t>
  </si>
  <si>
    <t xml:space="preserve">Balance Sheet </t>
  </si>
  <si>
    <t xml:space="preserve">in thousands, except share and per share data</t>
  </si>
  <si>
    <t xml:space="preserve">Assets</t>
  </si>
  <si>
    <t xml:space="preserve">Current assets:</t>
  </si>
  <si>
    <t xml:space="preserve">     Cash and cash equivalents</t>
  </si>
  <si>
    <t xml:space="preserve">Cashflow</t>
  </si>
  <si>
    <t xml:space="preserve">Short-term investments</t>
  </si>
  <si>
    <t xml:space="preserve">     Other current assets</t>
  </si>
  <si>
    <t xml:space="preserve">Other Items</t>
  </si>
  <si>
    <t xml:space="preserve">Total current assets</t>
  </si>
  <si>
    <t xml:space="preserve">     Content assets, net</t>
  </si>
  <si>
    <t xml:space="preserve">Schedules</t>
  </si>
  <si>
    <t xml:space="preserve">     Property and equipment, net</t>
  </si>
  <si>
    <t xml:space="preserve">     Other non-current assets</t>
  </si>
  <si>
    <t xml:space="preserve">Total assets</t>
  </si>
  <si>
    <t xml:space="preserve">Liabilities and Stockholders' Equity</t>
  </si>
  <si>
    <t xml:space="preserve">Current liabilities:</t>
  </si>
  <si>
    <t xml:space="preserve">     Current content liabilities</t>
  </si>
  <si>
    <t xml:space="preserve">     Accounts payable</t>
  </si>
  <si>
    <t xml:space="preserve">     Accrued expenses and other liabilities</t>
  </si>
  <si>
    <t xml:space="preserve">     Deferred revenue</t>
  </si>
  <si>
    <t xml:space="preserve">     Short-term debt</t>
  </si>
  <si>
    <t xml:space="preserve">Total current liabilities</t>
  </si>
  <si>
    <t xml:space="preserve">Non-current content liabilities</t>
  </si>
  <si>
    <t xml:space="preserve">     Long-term debt</t>
  </si>
  <si>
    <t xml:space="preserve">     Other non-current liabilities</t>
  </si>
  <si>
    <t xml:space="preserve">Total liabilities</t>
  </si>
  <si>
    <t xml:space="preserve">Stockholders' equity:</t>
  </si>
  <si>
    <t xml:space="preserve">     Common stock</t>
  </si>
  <si>
    <t xml:space="preserve">     Treasury stock</t>
  </si>
  <si>
    <t xml:space="preserve">     Accumulated other comprehensive income (loss)</t>
  </si>
  <si>
    <t xml:space="preserve">     Retained earnings</t>
  </si>
  <si>
    <t xml:space="preserve">Total stockholders' equity</t>
  </si>
  <si>
    <t xml:space="preserve">Total liabilities and stockholders' equity</t>
  </si>
  <si>
    <t xml:space="preserve">Cash Flow Statement (USD in thousands)</t>
  </si>
  <si>
    <t xml:space="preserve">Cash flows from operating activities</t>
  </si>
  <si>
    <t xml:space="preserve">Adjustments to reconcile net income to net cash provided by operating activities</t>
  </si>
  <si>
    <t xml:space="preserve">Additions to content assets</t>
  </si>
  <si>
    <t xml:space="preserve">Change in content liabilities</t>
  </si>
  <si>
    <t xml:space="preserve">Amortization of content assets</t>
  </si>
  <si>
    <t xml:space="preserve">Depreciation and amortization of property, equipment and intangibles</t>
  </si>
  <si>
    <t xml:space="preserve">Stock-based compensation expense</t>
  </si>
  <si>
    <t xml:space="preserve">Foreign currency remeasurement loss (gain) on debt</t>
  </si>
  <si>
    <t xml:space="preserve">Other non-cash items</t>
  </si>
  <si>
    <t xml:space="preserve">Deferred income taxes</t>
  </si>
  <si>
    <t xml:space="preserve">Changes in operating assets and liabilities</t>
  </si>
  <si>
    <t xml:space="preserve">Other current assets</t>
  </si>
  <si>
    <t xml:space="preserve">Accounts payable</t>
  </si>
  <si>
    <t xml:space="preserve">Accrued expenses and other liabilities</t>
  </si>
  <si>
    <t xml:space="preserve">Deferred revenue</t>
  </si>
  <si>
    <t xml:space="preserve">Other non-current assets and liabilities</t>
  </si>
  <si>
    <t xml:space="preserve">Net cash provided by operating activities</t>
  </si>
  <si>
    <t xml:space="preserve">Cash flows from investing activities</t>
  </si>
  <si>
    <t xml:space="preserve">Purchases of property and equipment</t>
  </si>
  <si>
    <t xml:space="preserve">Acquisitions</t>
  </si>
  <si>
    <t xml:space="preserve">Purchase of Investments</t>
  </si>
  <si>
    <t xml:space="preserve">Proceeds from maturities and sales of invesments</t>
  </si>
  <si>
    <t xml:space="preserve">Net cash provided by (used in) used in investing activities</t>
  </si>
  <si>
    <t xml:space="preserve">Cash flows from financing activities</t>
  </si>
  <si>
    <t xml:space="preserve">Proceeds from issuance of debt</t>
  </si>
  <si>
    <t xml:space="preserve">Repayment of debt</t>
  </si>
  <si>
    <t xml:space="preserve">Proceeds from issuance of common stock</t>
  </si>
  <si>
    <t xml:space="preserve">Repurchases of common stock</t>
  </si>
  <si>
    <t xml:space="preserve">Taxes paid related to net share settlement of equity awards</t>
  </si>
  <si>
    <t xml:space="preserve">Other financing activities</t>
  </si>
  <si>
    <t xml:space="preserve">Net cash provided by (used in) financing activities</t>
  </si>
  <si>
    <t xml:space="preserve">Effect of exchange rate changes on cash, cash equivalents and restricted cash</t>
  </si>
  <si>
    <t xml:space="preserve">Net increase (decrease) in cash, cash equivalents and restricted cash</t>
  </si>
  <si>
    <t xml:space="preserve">Cash, cash equivalents and restricted cash at beginning of year</t>
  </si>
  <si>
    <t xml:space="preserve">Cash, cash equivalents and restricted cash at end of year</t>
  </si>
  <si>
    <t xml:space="preserve">Supplemental disclosure</t>
  </si>
  <si>
    <t xml:space="preserve">Interest paid</t>
  </si>
  <si>
    <t xml:space="preserve">Revenue Sources</t>
  </si>
  <si>
    <t xml:space="preserve">Streaming revenues</t>
  </si>
  <si>
    <t xml:space="preserve">United States and Canada (UCAN)</t>
  </si>
  <si>
    <t xml:space="preserve">Growth percentage</t>
  </si>
  <si>
    <t xml:space="preserve">Europe, Middle East, and Africa (EMEA)</t>
  </si>
  <si>
    <t xml:space="preserve">Latin America (LATAM)</t>
  </si>
  <si>
    <t xml:space="preserve">Asia-Pacific (APAC)</t>
  </si>
  <si>
    <t xml:space="preserve">Total Streaming Revenues</t>
  </si>
  <si>
    <t xml:space="preserve">Total growth percentage</t>
  </si>
  <si>
    <t xml:space="preserve">DVD</t>
  </si>
  <si>
    <t xml:space="preserve">Total Revenue</t>
  </si>
  <si>
    <t xml:space="preserve">Additional Points</t>
  </si>
  <si>
    <t xml:space="preserve">1. Netflix discontinued DVD-by-mail service in the year ended December 31, 2023. The discontinuance of our DVD business had an immaterial impact on operations and financial results</t>
  </si>
  <si>
    <t xml:space="preserve">2. During the year ended December 31, 2025, we discontinued the reporting of membership numbers, including average paying memberships and average monthly revenue per paying membership, focusing instead on revenue and operating margin as the primary financial metrics that we believe best represent our business performance.</t>
  </si>
  <si>
    <t xml:space="preserve">Forecasted</t>
  </si>
  <si>
    <t xml:space="preserve">(in thousands)</t>
  </si>
  <si>
    <t xml:space="preserve">Cost of Goods Sold</t>
  </si>
  <si>
    <t xml:space="preserve">Adjustment (See Note Below)</t>
  </si>
  <si>
    <t xml:space="preserve">COGS under normal business environment</t>
  </si>
  <si>
    <t xml:space="preserve">as a % revenues</t>
  </si>
  <si>
    <t xml:space="preserve">Increase %</t>
  </si>
  <si>
    <t xml:space="preserve">Cost of revenues forecast based on normalized historical trends adjusted for expected operating leverage and scalability of streaming operations.</t>
  </si>
  <si>
    <t xml:space="preserve">The increase in cost of revenues for the year ended December 31, 2025 as compared to the year ended December 31, 2024 was primarily due to a $1,121 million increase in content amortization relating to our existing and new content, coupled with a $1,116 million increase in other cost of revenues, primarily driven by non-income tax assessments in Brazil. We do not expect that non-income taxes incurred in Brazil will materially impact our results of operations in future periods. See Note 9 Commitments and Contingencies in the accompanying notes to our consolidated financial statements for further detail on our non-income tax matters.</t>
  </si>
  <si>
    <t xml:space="preserve">Marketing</t>
  </si>
  <si>
    <t xml:space="preserve">The increase in sales and marketing expenses for the year ended December 31, 2025 as compared to the year ended December 31, 2024 was primarily driven by a $222 million increase in marketing expenses, coupled with a $149 million increase in personnel-related costs due to the growth in advertising sales headcount.</t>
  </si>
  <si>
    <t xml:space="preserve">Technology and Development</t>
  </si>
  <si>
    <t xml:space="preserve">The increase in technology and development expenses for the year ended December 31, 2025 as compared to the year ended December 31, 2024 was primarily due to a $438 million increase in personnel-related costs.</t>
  </si>
  <si>
    <t xml:space="preserve">General and Administrative</t>
  </si>
  <si>
    <t xml:space="preserve">The increase in general and administrative expenses for the year ended December 31, 2025 as compared to the year ended December 31, 2024 was primarily due to a $92 million increase in personnel-related costs and a $64 million increase in third-party expenses. The increase in personnel-related costs was primarily driven by higher share-based compensation expense, while the increase in third-party expenses was attributable to higher legal fees and transaction-related costs, including those associated with the WBD transaction.</t>
  </si>
  <si>
    <t xml:space="preserve">Other Current assets</t>
  </si>
  <si>
    <t xml:space="preserve">Accounts Payable </t>
  </si>
  <si>
    <t xml:space="preserve">Days Payable</t>
  </si>
  <si>
    <t xml:space="preserve">Accrued Expenses and other Liabilities</t>
  </si>
  <si>
    <t xml:space="preserve">Deferred Revenue</t>
  </si>
  <si>
    <t xml:space="preserve">Interest Expense</t>
  </si>
  <si>
    <t xml:space="preserve">Interest expense primarily consists of interest on our Notes of $716 million for the year ended December 31, 2025. The increase in interest expense for the year ended December 31, 2025 as compared to the year ended December 31, 2024 was primarily driven by higher amortization of debt issuance costs, including approximately $60 million related to financing arrangements entered into in connection with the WBD transaction. See Note 7 Debt for additional details regarding the financing arrangements associated with the WBD transaction.</t>
  </si>
  <si>
    <t xml:space="preserve">Interest and Other Income (Expense)</t>
  </si>
  <si>
    <t xml:space="preserve">Interest and other income (expense) decreased for the year ended December 31, 2025, primarily due to foreign exchange losses of $123 million, net of the impacts of derivatives and hedging, compared to losses of $18 million for the corresponding period in 2024. In the year</t>
  </si>
  <si>
    <t xml:space="preserve">Effective tax rate</t>
  </si>
  <si>
    <t xml:space="preserve">The increase in our effective tax rate for the year ended December 31, 2025, as compared to the year ended December 31, 2024, is primarily due to a decrease in tax benefits associated with federal research and development tax credits as well as the growth in income before taxes exceeding the growth in excess tax benefits from stock-based compensation. See Note 11 Income Taxes to the consolidated financial statements for further information regarding income taxes.</t>
  </si>
  <si>
    <t xml:space="preserve">PP&amp;E</t>
  </si>
  <si>
    <t xml:space="preserve">Beginning Balance</t>
  </si>
  <si>
    <t xml:space="preserve">add: Capex</t>
  </si>
  <si>
    <t xml:space="preserve">less: Depreciation</t>
  </si>
  <si>
    <t xml:space="preserve">Closing Balance</t>
  </si>
  <si>
    <t xml:space="preserve">Useful life </t>
  </si>
  <si>
    <t xml:space="preserve">Content Assets</t>
  </si>
  <si>
    <t xml:space="preserve">add: Addition to Content Assets</t>
  </si>
  <si>
    <t xml:space="preserve">less: Amortisation of Content Assets</t>
  </si>
  <si>
    <t xml:space="preserve">Useful life</t>
  </si>
  <si>
    <t xml:space="preserve">Debt Schedule</t>
  </si>
  <si>
    <t xml:space="preserve">Beginning Balance of Debt</t>
  </si>
  <si>
    <t xml:space="preserve">add/less: Debt Taken /(debt repaid)</t>
  </si>
  <si>
    <t xml:space="preserve">Content Assets, Net</t>
  </si>
  <si>
    <t xml:space="preserve">As of December 31, 2025, approximately $6,381 million, $2,280 million, and $1,469 million of the $12,139 million unamortized cost of the licensed content is expected to be amortized in each of the next three years. As of December 31, 2025, approximately $4,309 million, $2,784 million, and $1,840 million of the $10,687 million unamortized cost of the produced content that has been released is expected to be amortized in each of the next three years.</t>
  </si>
  <si>
    <t xml:space="preserve">Licensed content net</t>
  </si>
  <si>
    <t xml:space="preserve">Produced content net</t>
  </si>
  <si>
    <t xml:space="preserve">Released less amort</t>
  </si>
  <si>
    <t xml:space="preserve">in prod</t>
  </si>
  <si>
    <t xml:space="preserve">in development and pre-prod</t>
  </si>
  <si>
    <t xml:space="preserve">Content assets, net</t>
  </si>
  <si>
    <t xml:space="preserve">Amortisation</t>
  </si>
  <si>
    <t xml:space="preserve">Licensed content</t>
  </si>
  <si>
    <t xml:space="preserve">Produced content</t>
  </si>
  <si>
    <t xml:space="preserve">`</t>
  </si>
  <si>
    <t xml:space="preserve">Additions</t>
  </si>
  <si>
    <t xml:space="preserve">Released</t>
  </si>
  <si>
    <t xml:space="preserve">Less Amortisation</t>
  </si>
  <si>
    <t xml:space="preserve">Opening</t>
  </si>
  <si>
    <t xml:space="preserve">Property and Equipment, Net</t>
  </si>
  <si>
    <t xml:space="preserve">Land</t>
  </si>
  <si>
    <t xml:space="preserve">Buildings and improvements</t>
  </si>
  <si>
    <t xml:space="preserve">30 Years</t>
  </si>
  <si>
    <t xml:space="preserve">Leasehold improvements</t>
  </si>
  <si>
    <t xml:space="preserve">Over the life od lease</t>
  </si>
  <si>
    <t xml:space="preserve">Furniture and fixtures</t>
  </si>
  <si>
    <t xml:space="preserve">3 years</t>
  </si>
  <si>
    <t xml:space="preserve">Information technology</t>
  </si>
  <si>
    <t xml:space="preserve">3-5 years</t>
  </si>
  <si>
    <t xml:space="preserve">Corporate aircraft</t>
  </si>
  <si>
    <t xml:space="preserve">8-10 years</t>
  </si>
  <si>
    <t xml:space="preserve">Machinery and equipment</t>
  </si>
  <si>
    <t xml:space="preserve">Capital work-in-progress</t>
  </si>
  <si>
    <t xml:space="preserve">Property and equipment, gross</t>
  </si>
  <si>
    <t xml:space="preserve">Less: Accumulated depreciation</t>
  </si>
  <si>
    <t xml:space="preserve">Property and equipment, net</t>
  </si>
  <si>
    <t xml:space="preserve">Leases</t>
  </si>
  <si>
    <t xml:space="preserve">Operating Lease cost</t>
  </si>
  <si>
    <t xml:space="preserve">Short-term lease cost</t>
  </si>
  <si>
    <t xml:space="preserve">Total Lease cost</t>
  </si>
  <si>
    <t xml:space="preserve">Operating lease right-of-use assets, net</t>
  </si>
  <si>
    <t xml:space="preserve">Current operating lease liabilities</t>
  </si>
  <si>
    <t xml:space="preserve">Non-current operating lease liabilities</t>
  </si>
  <si>
    <t xml:space="preserve">Total operating lease liabilities</t>
  </si>
  <si>
    <t xml:space="preserve">Weighted-average remaining lease term</t>
  </si>
  <si>
    <t xml:space="preserve">6.9 years</t>
  </si>
  <si>
    <t xml:space="preserve">7 years</t>
  </si>
  <si>
    <t xml:space="preserve">Weighted-average discount rate</t>
  </si>
  <si>
    <t xml:space="preserve">Due in 12 month period ended december 31</t>
  </si>
  <si>
    <t xml:space="preserve">Cash and Cash Equivalents</t>
  </si>
  <si>
    <t xml:space="preserve">As of December 31, 2025</t>
  </si>
  <si>
    <t xml:space="preserve">Amortized Cost</t>
  </si>
  <si>
    <t xml:space="preserve">Gross Unrealized Gains</t>
  </si>
  <si>
    <t xml:space="preserve">Gross Unrealized Losses</t>
  </si>
  <si>
    <t xml:space="preserve">Estimated Fair Value</t>
  </si>
  <si>
    <t xml:space="preserve">Cash &amp; Cash Equivalents</t>
  </si>
  <si>
    <t xml:space="preserve">Short-term Investments</t>
  </si>
  <si>
    <t xml:space="preserve">Other Current Assets</t>
  </si>
  <si>
    <t xml:space="preserve">Non-current Assets</t>
  </si>
  <si>
    <t xml:space="preserve">Cash</t>
  </si>
  <si>
    <t xml:space="preserve">-</t>
  </si>
  <si>
    <t xml:space="preserve">Level 1 securities:</t>
  </si>
  <si>
    <t xml:space="preserve">Money market funds</t>
  </si>
  <si>
    <t xml:space="preserve">Level 2 securities:</t>
  </si>
  <si>
    <t xml:space="preserve">Time Deposits</t>
  </si>
  <si>
    <t xml:space="preserve">Total</t>
  </si>
  <si>
    <t xml:space="preserve">As of December 31, 2024</t>
  </si>
  <si>
    <t xml:space="preserve">Government securities</t>
  </si>
  <si>
    <t xml:space="preserve">1) The majority of the Company's time deposits are international deposits, which mature within one year.
Other current assets and non-current assets primarily consist of restricted cash for deposits related to self-insurance. The fair value of AFS securities, cash equivalents and short-term investments included in the Level 2 category is based on observable inputs, such as quoted prices for similar assets at the measurement date; quoted prices in markets that are not active; or other inputs that are observable, either directly or indirectly.</t>
  </si>
  <si>
    <t xml:space="preserve">As of December 31, 2025, the Company had aggregate outstanding notes of $14,463 million, net of $56 million of issuance costs and discounts, with varying maturities (the “Notes”). As of December 31, 2024, the Company had aggregate outstanding notes of $15,583 million, net of $70 million of issuance costs and discounts. Each of the Notes are senior unsecured obligations of the Company. Interest is payable semi-annually at fixed rates.
A portion of the outstanding Notes is denominated in foreign currency (comprised of €4,700 million) and is remeasured into U.S. dollars at each balance sheet date (with remeasurement loss, net of hedging impacts, totaling $72 million for the year ended December 31, 2025). See Note 8 Derivative Financial Instruments and Hedging Activities to the consolidated financial statements for further information regarding the Company’s derivative and non-derivative financial instruments.</t>
  </si>
  <si>
    <t xml:space="preserve">Netflix, Inc. — Senior Notes Detail</t>
  </si>
  <si>
    <t xml:space="preserve">As of December 31, 2025  |  US$ in thousands (euro face shown in €)  |  Source: FY2025 Form 10-K, Note 7 Debt (SEC accession 0001065280-26-000034, filed 2026-01-23)</t>
  </si>
  <si>
    <t xml:space="preserve">The following table provides a summary of the Company's outstanding debt and the fair values based on quoted market prices in less active markets as of December 31, 2025 and December 31, 2024:</t>
  </si>
  <si>
    <t xml:space="preserve">Principal Amount at Par</t>
  </si>
  <si>
    <t xml:space="preserve">Senior Notes</t>
  </si>
  <si>
    <t xml:space="preserve">Dec 31 2025</t>
  </si>
  <si>
    <t xml:space="preserve">Dec 31 2026</t>
  </si>
  <si>
    <t xml:space="preserve">Issuance Date</t>
  </si>
  <si>
    <t xml:space="preserve">Maturity</t>
  </si>
  <si>
    <t xml:space="preserve">Level 2 Fair Value (2025)</t>
  </si>
  <si>
    <t xml:space="preserve">Level 2 Fair Value (2024)</t>
  </si>
  <si>
    <t xml:space="preserve">5.875% Senior Notes</t>
  </si>
  <si>
    <t xml:space="preserve">3.000% Senior Notes</t>
  </si>
  <si>
    <t xml:space="preserve">3.625% Senior Notes</t>
  </si>
  <si>
    <t xml:space="preserve">4.375% Senior Notes</t>
  </si>
  <si>
    <t xml:space="preserve">4.875% Senior Notes</t>
  </si>
  <si>
    <t xml:space="preserve">4.625% Senior Notes</t>
  </si>
  <si>
    <t xml:space="preserve">6.375% Senior Notes</t>
  </si>
  <si>
    <t xml:space="preserve">3.875% Senior Notes</t>
  </si>
  <si>
    <t xml:space="preserve">5.375% Senior Notes</t>
  </si>
  <si>
    <t xml:space="preserve">4.900% Senior Notes</t>
  </si>
  <si>
    <t xml:space="preserve">5.400% Senior Notes</t>
  </si>
  <si>
    <t xml:space="preserve">1. The following Senior Notes have a principal amount denominated in Euro: 3.000% Senior Notes for €470 million, 3.625% Senior Notes for €1,300 million, 4.625% Senior Notes for €1,100 million, 3.875% Senior Notes for €1,200 million, and 3.625% Senior Notes for €1,100 million.</t>
  </si>
  <si>
    <t xml:space="preserve">In the year ended December 31, 2025, the Company repaid upon maturity the $800 million aggregate principal amount of its 5.875% Senior Notes, the €470 million aggregate principal amount of its 3.000% Senior Notes, and the $500 million aggregate principal amount of its 3.625% Senior Notes.</t>
  </si>
  <si>
    <t xml:space="preserve">Each of the Notes are repayable in whole or in part upon the occurrence of a change of control, at the option of the holders, at a purchase price in cash equal to 101% of the principal plus accrued interest. The Company may redeem the Notes prior to maturity in whole or in part at an amount equal to the principal amount thereof plus accrued and unpaid interest and an applicable premium. The Notes include, among other terms and conditions, limitations on the Company's ability to create, incur or allow certain liens, and consolidate or merge with, or convey, transfer or lease all or substantially all of the Company's and its subsidiaries assets, to another person. Certain of the Notes additionally limit the ability to enter into sale and lease-back transactions and create, assume, incur or guarantee additional indebtedness of certain of the Company's subsidiaries. As of December 31, 2025 and December 31, 2024, the Company was in compliance with all related covenants.</t>
  </si>
  <si>
    <t xml:space="preserve">EUR/USD year-end rate (assumption — confirm to 10-K):</t>
  </si>
  <si>
    <t xml:space="preserve">&lt;- adjust so euro USD-equivalents tie to Note 7</t>
  </si>
  <si>
    <t xml:space="preserve">Series (Senior Notes)</t>
  </si>
  <si>
    <t xml:space="preserve">Currency</t>
  </si>
  <si>
    <t xml:space="preserve">Coupon</t>
  </si>
  <si>
    <t xml:space="preserve">Face / Principal
(in currency)</t>
  </si>
  <si>
    <t xml:space="preserve">Maturity Date</t>
  </si>
  <si>
    <t xml:space="preserve">Maturity
Year</t>
  </si>
  <si>
    <t xml:space="preserve">Face in USD
(computed)</t>
  </si>
  <si>
    <t xml:space="preserve">Fair Value
(per 10-K)</t>
  </si>
  <si>
    <t xml:space="preserve">USD</t>
  </si>
  <si>
    <t xml:space="preserve">Nov 15, 2026</t>
  </si>
  <si>
    <t xml:space="preserve">2026</t>
  </si>
  <si>
    <t xml:space="preserve">EUR</t>
  </si>
  <si>
    <t xml:space="preserve">May 15, 2027</t>
  </si>
  <si>
    <t xml:space="preserve">2027</t>
  </si>
  <si>
    <t xml:space="preserve">Apr 15, 2028</t>
  </si>
  <si>
    <t xml:space="preserve">2028</t>
  </si>
  <si>
    <t xml:space="preserve">Nov 15, 2028</t>
  </si>
  <si>
    <t xml:space="preserve">May 15, 2029</t>
  </si>
  <si>
    <t xml:space="preserve">2029</t>
  </si>
  <si>
    <t xml:space="preserve">Nov 15, 2029</t>
  </si>
  <si>
    <t xml:space="preserve">Jun 15, 2030</t>
  </si>
  <si>
    <t xml:space="preserve">2030</t>
  </si>
  <si>
    <t xml:space="preserve">4.90% Senior Notes</t>
  </si>
  <si>
    <t xml:space="preserve">Aug 15, 2034</t>
  </si>
  <si>
    <t xml:space="preserve">2034</t>
  </si>
  <si>
    <t xml:space="preserve">5.40% Senior Notes</t>
  </si>
  <si>
    <t xml:space="preserve">Aug 15, 2054</t>
  </si>
  <si>
    <t xml:space="preserve">2054</t>
  </si>
  <si>
    <t xml:space="preserve">Total aggregate principal</t>
  </si>
  <si>
    <t xml:space="preserve">of which euro-denominated (€):</t>
  </si>
  <si>
    <t xml:space="preserve">Reconciliation to balance-sheet carrying amounts (per 10-K):</t>
  </si>
  <si>
    <t xml:space="preserve">Short-term debt (current portion) — 4.375% Notes due 2026, net</t>
  </si>
  <si>
    <t xml:space="preserve">Source: 10-K balance sheet / Note 7</t>
  </si>
  <si>
    <t xml:space="preserve">Long-term debt (non-current), net</t>
  </si>
  <si>
    <t xml:space="preserve">Total senior notes, net carrying amount</t>
  </si>
  <si>
    <t xml:space="preserve">Total senior notes, fair value</t>
  </si>
  <si>
    <t xml:space="preserve">Weighted-average effective interest rate</t>
  </si>
  <si>
    <t xml:space="preserve">Source: 10-K Note 7 weighted-avg rate</t>
  </si>
  <si>
    <t xml:space="preserve">Debt — Current vs. Non-Current Classification</t>
  </si>
  <si>
    <t xml:space="preserve">US$ in thousands  |  Source: Netflix FY2025 Form 10-K, Consolidated Balance Sheet &amp; Note 7</t>
  </si>
  <si>
    <t xml:space="preserve">Line item</t>
  </si>
  <si>
    <t xml:space="preserve">Dec 31, 2025</t>
  </si>
  <si>
    <t xml:space="preserve">Dec 31, 2024</t>
  </si>
  <si>
    <t xml:space="preserve">Note</t>
  </si>
  <si>
    <t xml:space="preserve">Short-term debt (current portion of senior notes)</t>
  </si>
  <si>
    <t xml:space="preserve">Portion maturing within 12 months</t>
  </si>
  <si>
    <t xml:space="preserve">Long-term debt (senior notes, non-current)</t>
  </si>
  <si>
    <t xml:space="preserve">Maturing beyond 12 months</t>
  </si>
  <si>
    <t xml:space="preserve">% current</t>
  </si>
  <si>
    <t xml:space="preserve">% non-current</t>
  </si>
  <si>
    <t xml:space="preserve">Maturities of Debt — Aggregate Principal by Year</t>
  </si>
  <si>
    <t xml:space="preserve">Face / principal amounts  |  US$ in thousands (euro at year-end rate from Sheet 1)  |  Source: FY2025 10-K Note 7. Confirm USD-equivalent of euro tranches to the 10-K maturities table.</t>
  </si>
  <si>
    <t xml:space="preserve">Maturity Year</t>
  </si>
  <si>
    <t xml:space="preserve">USD-denominated
principal</t>
  </si>
  <si>
    <t xml:space="preserve">Euro-denominated
principal (€)</t>
  </si>
  <si>
    <t xml:space="preserve">Euro principal
in USD (computed)</t>
  </si>
  <si>
    <t xml:space="preserve">Total principal
in USD</t>
  </si>
  <si>
    <t xml:space="preserve">Note: total principal differs from net carrying amount by unamortized debt discount/issuance costs and by euro remeasurement. Reconcile column E total to the 10-K Note 7 maturities table.</t>
  </si>
  <si>
    <t xml:space="preserve">Debt Rollforward — FY2025</t>
  </si>
  <si>
    <t xml:space="preserve">US$ in thousands  |  Net carrying amount. Endpoints verified to 10-K; component lines are flagged (yellow) to confirm to Note 7 / cash flow statement.</t>
  </si>
  <si>
    <t xml:space="preserve">Movement</t>
  </si>
  <si>
    <t xml:space="preserve">Amount</t>
  </si>
  <si>
    <t xml:space="preserve">Type</t>
  </si>
  <si>
    <t xml:space="preserve">Source / note</t>
  </si>
  <si>
    <t xml:space="preserve">Beginning balance — net carrying amount (Dec 31, 2024)</t>
  </si>
  <si>
    <t xml:space="preserve">input</t>
  </si>
  <si>
    <t xml:space="preserve">FY2024 10-K (ST $1,784,453 + LT $13,798,351)</t>
  </si>
  <si>
    <t xml:space="preserve">Less: principal repaid at maturity during 2025</t>
  </si>
  <si>
    <t xml:space="preserve">2025 notes repaid: 5.875% $800M + 3.000% €470M + 3.625% $500M — confirm exact $ in Note 7</t>
  </si>
  <si>
    <t xml:space="preserve">Add: new issuances during 2025</t>
  </si>
  <si>
    <t xml:space="preserve">Confirm — no new public notes identified in FY2025</t>
  </si>
  <si>
    <t xml:space="preserve">Add/(less): foreign-currency remeasurement of euro notes</t>
  </si>
  <si>
    <t xml:space="preserve">formula</t>
  </si>
  <si>
    <t xml:space="preserve">Non-cash euro remeasurement (plug to tie to ending balance)</t>
  </si>
  <si>
    <t xml:space="preserve">Add: amortization of debt discount &amp; issuance costs</t>
  </si>
  <si>
    <t xml:space="preserve">Confirm to Note 7 / cash flow statement</t>
  </si>
  <si>
    <t xml:space="preserve">Ending balance — net carrying amount (Dec 31, 2025)</t>
  </si>
  <si>
    <t xml:space="preserve">FY2025 10-K (ST $998,865 + LT $13,463,971)</t>
  </si>
  <si>
    <t xml:space="preserve">Check: rollforward sums to ending balance</t>
  </si>
  <si>
    <t xml:space="preserve">Should equal 0</t>
  </si>
  <si>
    <t xml:space="preserve">Contractual Coupon Interest &amp; Finance Cost — FY2025</t>
  </si>
  <si>
    <t xml:space="preserve">US$ in thousands  |  Contractual coupon computed from Sheet 1. GAAP interest expense (incl. amortization, net of capitalized interest) is a separate flagged input.</t>
  </si>
  <si>
    <t xml:space="preserve">Series</t>
  </si>
  <si>
    <t xml:space="preserve">Face (in ccy)</t>
  </si>
  <si>
    <t xml:space="preserve">Annual coupon
(USD, computed)</t>
  </si>
  <si>
    <t xml:space="preserve">Total annual contractual coupon interest</t>
  </si>
  <si>
    <t xml:space="preserve">Reported figures — fill from FY2025 income statement / cash flow statement:</t>
  </si>
  <si>
    <t xml:space="preserve">Interest expense (income statement)</t>
  </si>
  <si>
    <t xml:space="preserve">Interest paid (cash flow statement)</t>
  </si>
  <si>
    <t xml:space="preserve">Capitalized interest (if any)</t>
  </si>
  <si>
    <t xml:space="preserve">Note: contractual coupon ≠ GAAP interest expense. Interest expense also reflects amortization of discount/issuance costs and any capitalized interest. Euro coupon converted at average-period rate in the actual filing; this model uses the year-end rate from Sheet 1 as an approximation.</t>
  </si>
  <si>
    <t xml:space="preserve">Sources, Legend &amp; What to Confirm</t>
  </si>
  <si>
    <t xml:space="preserve">LEGEND: Blue text = hardcoded value verified from the 10-K / issuance filings.  Black text = formula/calculation.  Yellow fill = input to confirm against your own copy of the 10-K.</t>
  </si>
  <si>
    <t xml:space="preserve">VERIFIED DIRECTLY FROM FY2025 10-K (SEC accession 0001065280-26-000034, period 2025-12-31):</t>
  </si>
  <si>
    <t xml:space="preserve">- Short-term debt: $998,865K; Long-term debt: $13,463,971K; Total net carrying: $14,462,836K</t>
  </si>
  <si>
    <t xml:space="preserve">- Total senior notes fair value: $14,951,000K; FV/carrying ~= 1.03</t>
  </si>
  <si>
    <t xml:space="preserve">- Weighted-average effective interest rate: 4.76%</t>
  </si>
  <si>
    <t xml:space="preserve">- Euro-denominated principal totals EUR 4,700M (= EUR 5,170M at 12/31/24 less EUR 470M repaid in 2025)</t>
  </si>
  <si>
    <t xml:space="preserve">TO CONFIRM AGAINST YOUR OWN COPY OF THE 10-K IF PRESENTING THIS MODEL FORMALLY:</t>
  </si>
  <si>
    <t xml:space="preserve">- Per-note carrying values (face minus unamortized discount/issuance; euro at remeasured rate)</t>
  </si>
  <si>
    <t xml:space="preserve">- FY2025 repayments, FX remeasurement &amp; amortization components of the debt rollforward</t>
  </si>
  <si>
    <t xml:space="preserve">- EUR/USD year-end rate used (row 32 above) -- tune so euro USD-equivalents tie exactly to Note 7</t>
  </si>
  <si>
    <t xml:space="preserve">PRIMARY SOURCE: https://www.sec.gov/Archives/edgar/data/1065280/000106528026000034/nflx-20251231.htm</t>
  </si>
  <si>
    <t xml:space="preserve">Projection Drivers  —  resolved from selected scenario</t>
  </si>
  <si>
    <t xml:space="preserve">(links into Assumptions tab via the scenario switch)</t>
  </si>
  <si>
    <t xml:space="preserve">Cost of revenues (% rev)</t>
  </si>
  <si>
    <t xml:space="preserve">Sales &amp; marketing (% rev)</t>
  </si>
  <si>
    <t xml:space="preserve">Technology &amp; dev (% rev)</t>
  </si>
  <si>
    <t xml:space="preserve">General &amp; admin (% rev)</t>
  </si>
  <si>
    <t xml:space="preserve">Other current assets (% rev)</t>
  </si>
  <si>
    <t xml:space="preserve">Days payable outstanding</t>
  </si>
  <si>
    <t xml:space="preserve">Accrued expenses (% rev)</t>
  </si>
  <si>
    <t xml:space="preserve">Deferred revenue (% rev)</t>
  </si>
  <si>
    <t xml:space="preserve">Interest &amp; other income (expense)</t>
  </si>
  <si>
    <t xml:space="preserve">UCAN revenue growth</t>
  </si>
  <si>
    <t xml:space="preserve">EMEA revenue growth</t>
  </si>
  <si>
    <t xml:space="preserve">LATAM revenue growth</t>
  </si>
  <si>
    <t xml:space="preserve">APAC revenue growth</t>
  </si>
  <si>
    <t xml:space="preserve">Content spend growth</t>
  </si>
  <si>
    <t xml:space="preserve">Projection Schedules  —  supporting builds</t>
  </si>
  <si>
    <t xml:space="preserve">Revenue Build</t>
  </si>
  <si>
    <t xml:space="preserve">United States &amp; Canada (UCAN)</t>
  </si>
  <si>
    <t xml:space="preserve">Europe, Middle East &amp; Africa (EMEA)</t>
  </si>
  <si>
    <t xml:space="preserve">Total revenue</t>
  </si>
  <si>
    <t xml:space="preserve">Content Assets Rollforward</t>
  </si>
  <si>
    <t xml:space="preserve">Opening balance</t>
  </si>
  <si>
    <t xml:space="preserve">Closing balance, content assets net</t>
  </si>
  <si>
    <t xml:space="preserve">Property &amp; Equipment Rollforward</t>
  </si>
  <si>
    <t xml:space="preserve">Capital expenditure</t>
  </si>
  <si>
    <t xml:space="preserve">Depreciation</t>
  </si>
  <si>
    <t xml:space="preserve">Closing balance, PP&amp;E net</t>
  </si>
  <si>
    <t xml:space="preserve">Debt &amp; Interest Schedule</t>
  </si>
  <si>
    <t xml:space="preserve">Total debt, opening</t>
  </si>
  <si>
    <t xml:space="preserve">Scheduled repayments (face, by maturity)</t>
  </si>
  <si>
    <t xml:space="preserve">New borrowings</t>
  </si>
  <si>
    <t xml:space="preserve">Total debt, closing</t>
  </si>
  <si>
    <t xml:space="preserve">  Current portion (next-year maturity)</t>
  </si>
  <si>
    <t xml:space="preserve">  Long-term portion</t>
  </si>
  <si>
    <t xml:space="preserve">Average debt</t>
  </si>
  <si>
    <t xml:space="preserve">Balance Sheet Driver Schedule</t>
  </si>
  <si>
    <t xml:space="preserve">Accounts payable (DPO basis)</t>
  </si>
  <si>
    <t xml:space="preserve">Accrued expenses &amp; other liabilities</t>
  </si>
  <si>
    <t xml:space="preserve">Current content liabilities</t>
  </si>
  <si>
    <t xml:space="preserve">Other non-current assets</t>
  </si>
  <si>
    <t xml:space="preserve">Other non-current liabilities</t>
  </si>
  <si>
    <t xml:space="preserve">Equity Rollforward</t>
  </si>
  <si>
    <t xml:space="preserve">Stock-based compensation</t>
  </si>
  <si>
    <t xml:space="preserve">Stock issuance proceeds</t>
  </si>
  <si>
    <t xml:space="preserve">Share repurchases</t>
  </si>
  <si>
    <t xml:space="preserve">Common stock, closing</t>
  </si>
  <si>
    <t xml:space="preserve">Treasury stock, closing</t>
  </si>
  <si>
    <t xml:space="preserve">AOCI, closing</t>
  </si>
  <si>
    <t xml:space="preserve">Retained earnings, closing</t>
  </si>
  <si>
    <t xml:space="preserve">Netflix, Inc. — Projected Income Statement</t>
  </si>
  <si>
    <t xml:space="preserve">Gross profit</t>
  </si>
  <si>
    <t xml:space="preserve">Operating margin</t>
  </si>
  <si>
    <t xml:space="preserve">Net margin</t>
  </si>
  <si>
    <t xml:space="preserve">  Income before income taxes (EBT)</t>
  </si>
  <si>
    <t xml:space="preserve">  Provision for income taxes</t>
  </si>
  <si>
    <t xml:space="preserve">Netflix, Inc. — Projected Balance Sheet</t>
  </si>
  <si>
    <t xml:space="preserve">Cash and cash equivalents</t>
  </si>
  <si>
    <t xml:space="preserve">Short-term debt</t>
  </si>
  <si>
    <t xml:space="preserve">Long-term debt</t>
  </si>
  <si>
    <t xml:space="preserve">Common stock</t>
  </si>
  <si>
    <t xml:space="preserve">Treasury stock</t>
  </si>
  <si>
    <t xml:space="preserve">Accumulated other comprehensive income (loss)</t>
  </si>
  <si>
    <t xml:space="preserve">Retained earnings</t>
  </si>
  <si>
    <t xml:space="preserve">Total liabilities and equity</t>
  </si>
  <si>
    <t xml:space="preserve">CHECK: Assets - Liabilities &amp; Equity (must be 0)</t>
  </si>
  <si>
    <t xml:space="preserve">Netflix, Inc. — Projected Cash Flow Statement (Indirect)</t>
  </si>
  <si>
    <t xml:space="preserve">Change in other current assets</t>
  </si>
  <si>
    <t xml:space="preserve">Change in accounts payable</t>
  </si>
  <si>
    <t xml:space="preserve">Change in accrued expenses</t>
  </si>
  <si>
    <t xml:space="preserve">Change in deferred revenue</t>
  </si>
  <si>
    <t xml:space="preserve">Change in other non-current assets</t>
  </si>
  <si>
    <t xml:space="preserve">Change in other non-current liabilities</t>
  </si>
  <si>
    <t xml:space="preserve">Net cash from operating activities</t>
  </si>
  <si>
    <t xml:space="preserve">Change in short-term investments</t>
  </si>
  <si>
    <t xml:space="preserve">Net cash from investing activities</t>
  </si>
  <si>
    <t xml:space="preserve">Net cash from financing activities</t>
  </si>
  <si>
    <t xml:space="preserve">Net change in cash</t>
  </si>
  <si>
    <t xml:space="preserve">Cash at beginning of year</t>
  </si>
  <si>
    <t xml:space="preserve">Cash at end of year</t>
  </si>
  <si>
    <t xml:space="preserve">Netflix, Inc. — Model Integrity Checks</t>
  </si>
  <si>
    <t xml:space="preserve">All checks should read TRUE / 0 across every scenario. Re-verify after changing the scenario switch on the Model Control tab.</t>
  </si>
  <si>
    <t xml:space="preserve">CHECK 1 — Balance Sheet Balances (Assets = Liabilities + Equity)</t>
  </si>
  <si>
    <t xml:space="preserve">Year</t>
  </si>
  <si>
    <t xml:space="preserve">Assets - (Liabilities + Equity), $000s</t>
  </si>
  <si>
    <t xml:space="preserve">PASS?</t>
  </si>
  <si>
    <t xml:space="preserve">CHECK 2 — Cash Flow Statement Ties to Balance Sheet Cash</t>
  </si>
  <si>
    <t xml:space="preserve">CFS ending cash - BS cash, $000s</t>
  </si>
  <si>
    <t xml:space="preserve">CHECK 3 — Retained Earnings Rolls Forward with Net Income</t>
  </si>
  <si>
    <t xml:space="preserve">RE(t) - [RE(t-1) + Net Income(t)], $000s</t>
  </si>
  <si>
    <t xml:space="preserve">CHECK 4 — Revenue Build Ties to Projected P&amp;L</t>
  </si>
  <si>
    <t xml:space="preserve">Proj Schedules revenue - Projected PnL revenue, $000s</t>
  </si>
  <si>
    <t xml:space="preserve">CHECK 5 — Assumptions Tab Resolves the Active Scenario Correctly</t>
  </si>
  <si>
    <t xml:space="preserve">Assumptions!D50 (Selected COGS%, 2026E) matches CHOOSE() of Model Control switch?</t>
  </si>
  <si>
    <t xml:space="preserve">SCENARIO COMPARISON — proof that Worst / Neutral / Best all cascade through the model</t>
  </si>
  <si>
    <t xml:space="preserve">Static snapshot, computed by toggling Model Control!B3 through all three scenarios and capturing the output. The live model uses ONE switch (Model Control!B3) -- change it there to see any tab update in real time; this table exists only so all three cases are visible on one page at once.</t>
  </si>
  <si>
    <t xml:space="preserve">Metric</t>
  </si>
  <si>
    <t xml:space="preserve">Total Revenue, 2026E ($000s)</t>
  </si>
  <si>
    <t xml:space="preserve">Total Revenue, 2030E ($000s)</t>
  </si>
  <si>
    <t xml:space="preserve">Net Income, 2026E ($000s)</t>
  </si>
  <si>
    <t xml:space="preserve">Net Income, 2030E ($000s)</t>
  </si>
  <si>
    <t xml:space="preserve">Operating Margin, 2026E</t>
  </si>
  <si>
    <t xml:space="preserve">Operating Margin, 2030E</t>
  </si>
  <si>
    <t xml:space="preserve">WACC</t>
  </si>
  <si>
    <t xml:space="preserve">Enterprise Value ($000s)</t>
  </si>
  <si>
    <t xml:space="preserve">Equity Value ($000s)</t>
  </si>
  <si>
    <t xml:space="preserve">Implied Value per Share</t>
  </si>
  <si>
    <t xml:space="preserve">Implied upside / (downside) vs. $73.42 market price</t>
  </si>
  <si>
    <t xml:space="preserve">Currently active scenario (live, updates with Model Control!B3):</t>
  </si>
  <si>
    <t xml:space="preserve">DATA INTEGRITY AUDIT LOG (most recent full pass)</t>
  </si>
  <si>
    <t xml:space="preserve">Assumptions 2025A anchors (COGS, S&amp;M, Tech&amp;Dev, G&amp;A, Other Current Assets, Accrued Exp, Deferred Rev, Tax Rate)</t>
  </si>
  <si>
    <t xml:space="preserve">Found: Were hardcoded and did not match the actual computed 2025A ratios from the historicals -- COGS was off by 2.5 percentage points (54.0% stated vs. 51.5% actual). These never corrupted the output statements (which always pulled 2025A directly from the historicals), but they undermined the Assumptions tab's own credibility and the projected trajectory's starting point.</t>
  </si>
  <si>
    <t xml:space="preserve">Resolution: FIXED -- 2025A cells are now live formulas pulling directly from the historicals (cannot drift again); 2026E-2030E trajectories were shifted by the same delta to preserve the analytical judgment about the pace of change while correcting the starting point.</t>
  </si>
  <si>
    <t xml:space="preserve">Model Control -- Depreciation as % of opening PP&amp;E</t>
  </si>
  <si>
    <t xml:space="preserve">Found: Hardcoded at 7.0%. The actual 2025A ratio (D&amp;A of property/equipment / opening PP&amp;E) is 20.9% -- roughly 3x higher. This was understating projected depreciation, overstating net PP&amp;E, and understating the D&amp;A add-back in cash flow.</t>
  </si>
  <si>
    <t xml:space="preserve">Resolution: FIXED -- now a live formula linked to the historicals.</t>
  </si>
  <si>
    <t xml:space="preserve">Model Control -- Debt weighted-average interest rate</t>
  </si>
  <si>
    <t xml:space="preserve">Found: Hardcoded at a flat 5.0%, used to project forward interest expense -- but the model's own Debt tab computes an actual weighted-average effective rate of 4.76% from the real note-by-note maturity schedule. The two numbers disagreed for no reason.</t>
  </si>
  <si>
    <t xml:space="preserve">Resolution: FIXED -- now linked directly to Debt!D55, so there is exactly one interest rate in the model, not two.</t>
  </si>
  <si>
    <t xml:space="preserve">Proj Schedules!B31 -- 'Average debt' (2025A)</t>
  </si>
  <si>
    <t xml:space="preserve">Found: Formula mistakenly referenced 'CFS Input'!D45 (Interest Paid, $718.6mm) instead of computing an average debt balance. Harmless to output (2025A interest expense pulled from the actual historical figure directly, not from this cell), but wrong and misleading on inspection.</t>
  </si>
  <si>
    <t xml:space="preserve">Resolution: FIXED -- now =AVERAGE(opening, closing) debt balance, consistent with every other year in the row.</t>
  </si>
  <si>
    <t xml:space="preserve">Schedules tab (historical PP&amp;E/content rollforward)</t>
  </si>
  <si>
    <t xml:space="preserve">Found: Not referenced by any other tab -- it's a standalone historical reconciliation that doesn't feed the forward-looking engine (which independently rebuilds from Revenue Modelling / Assumptions / Model Control).</t>
  </si>
  <si>
    <t xml:space="preserve">Resolution: NOT A BUG -- left as-is. It has legitimate value as an audit trail proving the historical PP&amp;E/content mechanics tie to the 10-K, but it should be understood as supplementary documentation, not a live part of the calculation chain.</t>
  </si>
  <si>
    <t xml:space="preserve">Net effect of these fixes: Neutral-case 2030E net income moved from $16.73bn to $18.19bn, and the DCF implied share price moved from $83.74 to $88.36 -- entirely from correcting the COGS and depreciation anchors to match the actual 10-K data. Every other check above still passes.</t>
  </si>
  <si>
    <t xml:space="preserve">KNOWN SIMPLIFICATIONS (not bugs -- disclosed limitations from the most recent audit pass)</t>
  </si>
  <si>
    <t xml:space="preserve">- Share repurchases are held flat at the 2025A dollar amount (.13bn/yr) across every year AND every scenario -- Worst case does not reduce buybacks despite much lower net income.</t>
  </si>
  <si>
    <t xml:space="preserve">- AOCI (accumulated other comprehensive income) is held flat rather than modeled -- reasonable given it is FX/derivative noise, same treatment as Interest &amp; Other Income.</t>
  </si>
  <si>
    <t xml:space="preserve">- Diluted share count in the DCF is static and does not shrink over time from ongoing buybacks, which would modestly increase per-share value in later years if modeled dynamically.</t>
  </si>
  <si>
    <t xml:space="preserve">Netflix, Inc. — Chart Data (all 3 scenarios computed in parallel, live-linked)</t>
  </si>
  <si>
    <t xml:space="preserve">Every cell here is a formula -- Worst/Neutral/Best are each computed directly from the Worst/Neutral/Best columns on the Assumptions tabs (not from the single Model Control switch), so all three scenarios are visible and update simultaneously. Historicals (2023A-2025A) are identical across scenarios (actuals).</t>
  </si>
  <si>
    <t xml:space="preserve">WORST CASE</t>
  </si>
  <si>
    <t xml:space="preserve">2023A</t>
  </si>
  <si>
    <t xml:space="preserve">2024A</t>
  </si>
  <si>
    <t xml:space="preserve">  UCAN</t>
  </si>
  <si>
    <t xml:space="preserve">  EMEA</t>
  </si>
  <si>
    <t xml:space="preserve">  LATAM</t>
  </si>
  <si>
    <t xml:space="preserve">  APAC</t>
  </si>
  <si>
    <t xml:space="preserve">Cost of Revenue</t>
  </si>
  <si>
    <t xml:space="preserve">Gross Profit</t>
  </si>
  <si>
    <t xml:space="preserve">Sales &amp; Marketing</t>
  </si>
  <si>
    <t xml:space="preserve">Technology &amp; Development</t>
  </si>
  <si>
    <t xml:space="preserve">General &amp; Administrative</t>
  </si>
  <si>
    <t xml:space="preserve">Total Operating Expenses (S&amp;M+T&amp;D+G&amp;A)</t>
  </si>
  <si>
    <t xml:space="preserve">Operating Income</t>
  </si>
  <si>
    <t xml:space="preserve">Operating Margin %</t>
  </si>
  <si>
    <t xml:space="preserve">Interest Expense (contractual, same all scenarios)</t>
  </si>
  <si>
    <t xml:space="preserve">Interest &amp; Other Income (Expense)</t>
  </si>
  <si>
    <t xml:space="preserve">EBT</t>
  </si>
  <si>
    <t xml:space="preserve">Provision for Income Taxes</t>
  </si>
  <si>
    <t xml:space="preserve">Net Income</t>
  </si>
  <si>
    <t xml:space="preserve">Net Margin %</t>
  </si>
  <si>
    <t xml:space="preserve">Free Cash Flow (CFO - Capex), historicals only</t>
  </si>
  <si>
    <t xml:space="preserve">NEUTRAL CASE</t>
  </si>
  <si>
    <t xml:space="preserve">BEST CASE</t>
  </si>
  <si>
    <t xml:space="preserve">Netflix, Inc. — Scenario Charts (Worst / Neutral / Best)</t>
  </si>
  <si>
    <t xml:space="preserve">Source data: Chart Data tab. All three scenarios computed and plotted simultaneously; historicals (2023A-2025A) are actuals shared by all three lines.</t>
  </si>
  <si>
    <t xml:space="preserve">Netflix, Inc. — Weighted Average Cost of Capital (WACC)</t>
  </si>
  <si>
    <t xml:space="preserve">(USD in thousands unless noted; market data as of July 2026)</t>
  </si>
  <si>
    <t xml:space="preserve">Cost of Equity (CAPM)</t>
  </si>
  <si>
    <t xml:space="preserve">Risk-free rate (10-yr U.S. Treasury)</t>
  </si>
  <si>
    <t xml:space="preserve">Source: U.S. Treasury / FRED DGS10, ~4.5-4.6% as of July 2026.</t>
  </si>
  <si>
    <t xml:space="preserve">Equity risk premium</t>
  </si>
  <si>
    <t xml:space="preserve">Source: long-run U.S. market ERP estimate (Damodaran-style), ~5.0-5.5%.</t>
  </si>
  <si>
    <t xml:space="preserve">Levered beta</t>
  </si>
  <si>
    <t xml:space="preserve">Source: GuruFocus 3-yr beta, ~1.2. Reflects NFLX volatility vs. legacy media/streaming peers; other providers show a wider 1.2-1.7 range depending on lookback window.</t>
  </si>
  <si>
    <t xml:space="preserve">Cost of equity = Rf + Beta x ERP</t>
  </si>
  <si>
    <t xml:space="preserve">Cost of Debt</t>
  </si>
  <si>
    <t xml:space="preserve">Pre-tax cost of debt (weighted-avg effective rate)</t>
  </si>
  <si>
    <t xml:space="preserve">Source: FY2025 10-K Note 7, weighted-average effective interest rate on senior notes.</t>
  </si>
  <si>
    <t xml:space="preserve">Marginal tax rate</t>
  </si>
  <si>
    <t xml:space="preserve">U.S. federal statutory rate, used for the debt tax shield (distinct from the effective book tax rate in Assumptions).</t>
  </si>
  <si>
    <t xml:space="preserve">After-tax cost of debt</t>
  </si>
  <si>
    <t xml:space="preserve">Capital Structure (Market Values)</t>
  </si>
  <si>
    <t xml:space="preserve">Market value of equity</t>
  </si>
  <si>
    <t xml:space="preserve">Market cap ~$309bn (NFLX @ ~$73.42/sh x ~4.21bn shares o/s, per Morningstar, July 10, 2026), converted to $000s.</t>
  </si>
  <si>
    <t xml:space="preserve">Market value of debt (book value used as proxy)</t>
  </si>
  <si>
    <t xml:space="preserve">FY2025 10-K balance sheet: short-term debt + long-term debt.</t>
  </si>
  <si>
    <t xml:space="preserve">Total capital</t>
  </si>
  <si>
    <t xml:space="preserve">Weight of equity</t>
  </si>
  <si>
    <t xml:space="preserve">Weight of debt</t>
  </si>
  <si>
    <t xml:space="preserve">WACC = We x Ke + Wd x Kd(after-tax)</t>
  </si>
  <si>
    <t xml:space="preserve">Netflix, Inc. — Discounted Cash Flow Valuation</t>
  </si>
  <si>
    <t xml:space="preserve">(USD in thousands, except per-share)</t>
  </si>
  <si>
    <t xml:space="preserve">Formula</t>
  </si>
  <si>
    <t xml:space="preserve">EBIT (Operating income)</t>
  </si>
  <si>
    <t xml:space="preserve">Less: unlevered cash taxes (EBIT x tax rate)</t>
  </si>
  <si>
    <t xml:space="preserve">NOPAT</t>
  </si>
  <si>
    <t xml:space="preserve">Add: D&amp;A (PP&amp;E depreciation + content amortization)</t>
  </si>
  <si>
    <t xml:space="preserve">Less: Capex (PP&amp;E)</t>
  </si>
  <si>
    <t xml:space="preserve">Less: Net content spend (additions less amortization)</t>
  </si>
  <si>
    <t xml:space="preserve">Less: (Increase) / add: decrease in other net working capital</t>
  </si>
  <si>
    <t xml:space="preserve">Unlevered Free Cash Flow (UFCF)</t>
  </si>
  <si>
    <t xml:space="preserve">Discount period (years)</t>
  </si>
  <si>
    <t xml:space="preserve">Discount factor @ WACC</t>
  </si>
  <si>
    <t xml:space="preserve">PV of UFCF</t>
  </si>
  <si>
    <t xml:space="preserve">Sum of PV of UFCF (2026E-2030E)</t>
  </si>
  <si>
    <t xml:space="preserve">Terminal Value (Gordon Growth Method)</t>
  </si>
  <si>
    <t xml:space="preserve">Long-term perpetuity growth rate (g)</t>
  </si>
  <si>
    <t xml:space="preserve"> -- assumption grounded in long-run nominal GDP/streaming-market maturity growth, held below WACC.</t>
  </si>
  <si>
    <t xml:space="preserve">Terminal UFCF = UFCF(2030E) x (1+g)</t>
  </si>
  <si>
    <t xml:space="preserve">Terminal Value = Terminal UFCF / (WACC - g)</t>
  </si>
  <si>
    <t xml:space="preserve">PV of Terminal Value</t>
  </si>
  <si>
    <t xml:space="preserve">Enterprise Value = Sum PV(UFCF) + PV(Terminal Value)</t>
  </si>
  <si>
    <t xml:space="preserve">  memo: % of EV from terminal value</t>
  </si>
  <si>
    <t xml:space="preserve">Less: Total Debt (2025A book value)</t>
  </si>
  <si>
    <t xml:space="preserve">Add: Cash &amp; Short-Term Investments (2025A)</t>
  </si>
  <si>
    <t xml:space="preserve">Equity Value</t>
  </si>
  <si>
    <t xml:space="preserve">Diluted shares outstanding (000s)</t>
  </si>
  <si>
    <t xml:space="preserve"> -- Source: FY2025 10-K weighted-average diluted shares.</t>
  </si>
  <si>
    <t xml:space="preserve">Current market price (for reference, July 2026)</t>
  </si>
  <si>
    <t xml:space="preserve"> -- Source: Morningstar/Robinhood quote, July 10-11, 2026.</t>
  </si>
  <si>
    <t xml:space="preserve">Implied upside / (downside) vs. current price</t>
  </si>
</sst>
</file>

<file path=xl/styles.xml><?xml version="1.0" encoding="utf-8"?>
<styleSheet xmlns="http://schemas.openxmlformats.org/spreadsheetml/2006/main">
  <numFmts count="24">
    <numFmt numFmtId="164" formatCode="General"/>
    <numFmt numFmtId="165" formatCode="0"/>
    <numFmt numFmtId="166" formatCode="0.0%"/>
    <numFmt numFmtId="167" formatCode="0.00%"/>
    <numFmt numFmtId="168" formatCode="#,##0;\(#,##0\);\-"/>
    <numFmt numFmtId="169" formatCode="0.0"/>
    <numFmt numFmtId="170" formatCode="0.00"/>
    <numFmt numFmtId="171" formatCode="#,##0"/>
    <numFmt numFmtId="172" formatCode="_ * #,##0_ ;_ * \-#,##0_ ;_ * \-??_ ;_ @_ "/>
    <numFmt numFmtId="173" formatCode="_(* #,##0_);_(* \(#,##0\);_(* \-??_);_(@_)"/>
    <numFmt numFmtId="174" formatCode="_ * #,##0.00_ ;_ * \-#,##0.00_ ;_ * \-??_ ;_ @_ "/>
    <numFmt numFmtId="175" formatCode="_(\$* #,##0_);_(\$* \(#,##0\);_(\$* \-??_);_(@_)"/>
    <numFmt numFmtId="176" formatCode="\$* #,###\ ;\$* \(#,###\);\$* &quot;- &quot;"/>
    <numFmt numFmtId="177" formatCode="0%"/>
    <numFmt numFmtId="178" formatCode="_(* #,##0.00_);_(* \(#,##0.00\);_(* \-??_);_(@_)"/>
    <numFmt numFmtId="179" formatCode="#,##0.0"/>
    <numFmt numFmtId="180" formatCode="#,##0.00"/>
    <numFmt numFmtId="181" formatCode="mmm\-yy"/>
    <numFmt numFmtId="182" formatCode="\$#,##0;&quot;($&quot;#,##0\);\-"/>
    <numFmt numFmtId="183" formatCode="\€#,##0;&quot;(€&quot;#,##0\);\-"/>
    <numFmt numFmtId="184" formatCode="\$#,##0.00"/>
    <numFmt numFmtId="185" formatCode="#,##0,,\B"/>
    <numFmt numFmtId="186" formatCode="_ * #,##0.00000_ ;_ * \-#,##0.00000_ ;_ * \-??_ ;_ @_ "/>
    <numFmt numFmtId="187" formatCode="0.000"/>
  </numFmts>
  <fonts count="56">
    <font>
      <sz val="10"/>
      <name val="Gadugi"/>
      <family val="0"/>
      <charset val="1"/>
    </font>
    <font>
      <sz val="10"/>
      <name val="Arial"/>
      <family val="0"/>
    </font>
    <font>
      <sz val="10"/>
      <name val="Arial"/>
      <family val="0"/>
    </font>
    <font>
      <sz val="10"/>
      <name val="Arial"/>
      <family val="0"/>
    </font>
    <font>
      <b val="true"/>
      <sz val="28"/>
      <color rgb="FFFFFFFF"/>
      <name val="Gadugi"/>
      <family val="0"/>
      <charset val="1"/>
    </font>
    <font>
      <sz val="13"/>
      <color rgb="FFFFFFFF"/>
      <name val="Gadugi"/>
      <family val="0"/>
      <charset val="1"/>
    </font>
    <font>
      <b val="true"/>
      <sz val="13"/>
      <color rgb="FFFFFFFF"/>
      <name val="Gadugi"/>
      <family val="0"/>
      <charset val="1"/>
    </font>
    <font>
      <sz val="10.5"/>
      <color rgb="FF000000"/>
      <name val="Gadugi"/>
      <family val="0"/>
      <charset val="1"/>
    </font>
    <font>
      <i val="true"/>
      <sz val="9"/>
      <color rgb="FF595959"/>
      <name val="Gadugi"/>
      <family val="0"/>
      <charset val="1"/>
    </font>
    <font>
      <b val="true"/>
      <sz val="20"/>
      <color rgb="FF1F4E78"/>
      <name val="Gadugi"/>
      <family val="0"/>
      <charset val="1"/>
    </font>
    <font>
      <sz val="12"/>
      <color rgb="FF595959"/>
      <name val="Gadugi"/>
      <family val="0"/>
      <charset val="1"/>
    </font>
    <font>
      <sz val="10.5"/>
      <name val="Gadugi"/>
      <family val="0"/>
      <charset val="1"/>
    </font>
    <font>
      <b val="true"/>
      <sz val="13"/>
      <color rgb="FF1F4E78"/>
      <name val="Gadugi"/>
      <family val="0"/>
      <charset val="1"/>
    </font>
    <font>
      <sz val="11"/>
      <name val="Calibri"/>
      <family val="0"/>
      <charset val="1"/>
    </font>
    <font>
      <sz val="11"/>
      <name val="Gadugi"/>
      <family val="0"/>
      <charset val="1"/>
    </font>
    <font>
      <i val="true"/>
      <sz val="9"/>
      <color rgb="FFC00000"/>
      <name val="Gadugi"/>
      <family val="0"/>
      <charset val="1"/>
    </font>
    <font>
      <b val="true"/>
      <sz val="11"/>
      <name val="Gadugi"/>
      <family val="0"/>
      <charset val="1"/>
    </font>
    <font>
      <b val="true"/>
      <sz val="11"/>
      <color rgb="FF0000FF"/>
      <name val="Gadugi"/>
      <family val="0"/>
      <charset val="1"/>
    </font>
    <font>
      <sz val="11"/>
      <color rgb="FF008000"/>
      <name val="Gadugi"/>
      <family val="0"/>
      <charset val="1"/>
    </font>
    <font>
      <b val="true"/>
      <sz val="10"/>
      <color rgb="FF1B1B3A"/>
      <name val="Gadugi"/>
      <family val="0"/>
      <charset val="1"/>
    </font>
    <font>
      <sz val="10"/>
      <color rgb="FF0000FF"/>
      <name val="Gadugi"/>
      <family val="0"/>
      <charset val="1"/>
    </font>
    <font>
      <b val="true"/>
      <sz val="10"/>
      <name val="Gadugi"/>
      <family val="0"/>
      <charset val="1"/>
    </font>
    <font>
      <b val="true"/>
      <sz val="10"/>
      <color rgb="FFFFFFFF"/>
      <name val="Gadugi"/>
      <family val="0"/>
      <charset val="1"/>
    </font>
    <font>
      <b val="true"/>
      <sz val="14"/>
      <color rgb="FF1F4E78"/>
      <name val="Gadugi"/>
      <family val="0"/>
      <charset val="1"/>
    </font>
    <font>
      <b val="true"/>
      <sz val="12"/>
      <color rgb="FF1F3864"/>
      <name val="Gadugi"/>
      <family val="0"/>
      <charset val="1"/>
    </font>
    <font>
      <sz val="10"/>
      <color rgb="FF000000"/>
      <name val="Gadugi"/>
      <family val="0"/>
      <charset val="1"/>
    </font>
    <font>
      <sz val="11"/>
      <color rgb="FF0000FF"/>
      <name val="Gadugi"/>
      <family val="0"/>
      <charset val="1"/>
    </font>
    <font>
      <b val="true"/>
      <sz val="10"/>
      <color rgb="FF000000"/>
      <name val="Gadugi"/>
      <family val="2"/>
      <charset val="1"/>
    </font>
    <font>
      <b val="true"/>
      <sz val="10"/>
      <color rgb="FF000000"/>
      <name val="Gadugi"/>
      <family val="0"/>
      <charset val="1"/>
    </font>
    <font>
      <b val="true"/>
      <i val="true"/>
      <sz val="9"/>
      <name val="Gadugi"/>
      <family val="0"/>
      <charset val="1"/>
    </font>
    <font>
      <sz val="8"/>
      <color rgb="FF808080"/>
      <name val="Gadugi"/>
      <family val="0"/>
      <charset val="1"/>
    </font>
    <font>
      <b val="true"/>
      <sz val="12"/>
      <color rgb="FFFFFFFF"/>
      <name val="Gadugi"/>
      <family val="0"/>
      <charset val="1"/>
    </font>
    <font>
      <b val="true"/>
      <sz val="20"/>
      <color rgb="FF002060"/>
      <name val="Gadugi"/>
      <family val="0"/>
      <charset val="1"/>
    </font>
    <font>
      <b val="true"/>
      <sz val="10"/>
      <color rgb="FF1F3864"/>
      <name val="Gadugi"/>
      <family val="0"/>
      <charset val="1"/>
    </font>
    <font>
      <sz val="11"/>
      <color rgb="FF000000"/>
      <name val="Gadugi"/>
      <family val="0"/>
      <charset val="1"/>
    </font>
    <font>
      <sz val="10"/>
      <color rgb="FFFF0000"/>
      <name val="Gadugi"/>
      <family val="2"/>
      <charset val="1"/>
    </font>
    <font>
      <b val="true"/>
      <sz val="12"/>
      <color rgb="FF002060"/>
      <name val="Gadugi"/>
      <family val="0"/>
      <charset val="1"/>
    </font>
    <font>
      <sz val="11"/>
      <name val="Gadugi"/>
      <family val="2"/>
      <charset val="1"/>
    </font>
    <font>
      <i val="true"/>
      <sz val="10"/>
      <color rgb="FF000000"/>
      <name val="Gadugi"/>
      <family val="0"/>
      <charset val="1"/>
    </font>
    <font>
      <sz val="11"/>
      <color rgb="FF2F5496"/>
      <name val="Gadugi"/>
      <family val="0"/>
      <charset val="1"/>
    </font>
    <font>
      <sz val="10"/>
      <name val="Arial"/>
      <family val="2"/>
    </font>
    <font>
      <i val="true"/>
      <sz val="9"/>
      <color rgb="FF333333"/>
      <name val="Gadugi"/>
      <family val="0"/>
      <charset val="1"/>
    </font>
    <font>
      <b val="true"/>
      <sz val="10"/>
      <color theme="0"/>
      <name val="Gadugi"/>
      <family val="2"/>
      <charset val="1"/>
    </font>
    <font>
      <i val="true"/>
      <sz val="9"/>
      <color rgb="FF666666"/>
      <name val="Gadugi"/>
      <family val="0"/>
      <charset val="1"/>
    </font>
    <font>
      <sz val="10"/>
      <color rgb="FF008000"/>
      <name val="Gadugi"/>
      <family val="0"/>
      <charset val="1"/>
    </font>
    <font>
      <b val="true"/>
      <sz val="16"/>
      <color rgb="FF1F4E78"/>
      <name val="Gadugi"/>
      <family val="0"/>
      <charset val="1"/>
    </font>
    <font>
      <i val="true"/>
      <sz val="10"/>
      <color rgb="FF595959"/>
      <name val="Gadugi"/>
      <family val="0"/>
      <charset val="1"/>
    </font>
    <font>
      <sz val="9.5"/>
      <name val="Gadugi"/>
      <family val="0"/>
      <charset val="1"/>
    </font>
    <font>
      <sz val="9.5"/>
      <color rgb="FF008000"/>
      <name val="Gadugi"/>
      <family val="0"/>
      <charset val="1"/>
    </font>
    <font>
      <b val="true"/>
      <sz val="11"/>
      <color rgb="FFFFFFFF"/>
      <name val="Gadugi"/>
      <family val="0"/>
      <charset val="1"/>
    </font>
    <font>
      <b val="true"/>
      <sz val="18"/>
      <color rgb="FF000000"/>
      <name val="Calibri"/>
      <family val="2"/>
    </font>
    <font>
      <sz val="10"/>
      <color rgb="FF000000"/>
      <name val="Calibri"/>
      <family val="2"/>
    </font>
    <font>
      <b val="true"/>
      <sz val="10"/>
      <color rgb="FF000000"/>
      <name val="Calibri"/>
      <family val="2"/>
    </font>
    <font>
      <b val="true"/>
      <sz val="14"/>
      <name val="Gadugi"/>
      <family val="0"/>
      <charset val="1"/>
    </font>
    <font>
      <b val="true"/>
      <sz val="12"/>
      <name val="Gadugi"/>
      <family val="0"/>
      <charset val="1"/>
    </font>
    <font>
      <b val="true"/>
      <sz val="11"/>
      <color theme="0"/>
      <name val="Gadugi"/>
      <family val="0"/>
      <charset val="1"/>
    </font>
  </fonts>
  <fills count="18">
    <fill>
      <patternFill patternType="none"/>
    </fill>
    <fill>
      <patternFill patternType="gray125"/>
    </fill>
    <fill>
      <patternFill patternType="solid">
        <fgColor rgb="FFE50914"/>
        <bgColor rgb="FFFF0000"/>
      </patternFill>
    </fill>
    <fill>
      <patternFill patternType="solid">
        <fgColor rgb="FF141414"/>
        <bgColor rgb="FF1B1B3A"/>
      </patternFill>
    </fill>
    <fill>
      <patternFill patternType="solid">
        <fgColor rgb="FF1B1B3A"/>
        <bgColor rgb="FF141414"/>
      </patternFill>
    </fill>
    <fill>
      <patternFill patternType="solid">
        <fgColor rgb="FFFFFF00"/>
        <bgColor rgb="FFFFFF00"/>
      </patternFill>
    </fill>
    <fill>
      <patternFill patternType="solid">
        <fgColor rgb="FFFFF2CC"/>
        <bgColor rgb="FFE8E8F0"/>
      </patternFill>
    </fill>
    <fill>
      <patternFill patternType="solid">
        <fgColor rgb="FFE8E8F0"/>
        <bgColor rgb="FFD9E1F2"/>
      </patternFill>
    </fill>
    <fill>
      <patternFill patternType="solid">
        <fgColor theme="4" tint="0.3999"/>
        <bgColor rgb="FFA6A6A6"/>
      </patternFill>
    </fill>
    <fill>
      <patternFill patternType="solid">
        <fgColor rgb="FFD9E1F2"/>
        <bgColor rgb="FFD6DCE4"/>
      </patternFill>
    </fill>
    <fill>
      <patternFill patternType="solid">
        <fgColor rgb="FF1F4E78"/>
        <bgColor rgb="FF2F5496"/>
      </patternFill>
    </fill>
    <fill>
      <patternFill patternType="solid">
        <fgColor rgb="FFD6DCE4"/>
        <bgColor rgb="FFD9D9E8"/>
      </patternFill>
    </fill>
    <fill>
      <patternFill patternType="solid">
        <fgColor rgb="FFD9D9E8"/>
        <bgColor rgb="FFD6DCE4"/>
      </patternFill>
    </fill>
    <fill>
      <patternFill patternType="solid">
        <fgColor rgb="FFC00000"/>
        <bgColor rgb="FFE50914"/>
      </patternFill>
    </fill>
    <fill>
      <patternFill patternType="solid">
        <fgColor rgb="FF7F7F7F"/>
        <bgColor rgb="FF808080"/>
      </patternFill>
    </fill>
    <fill>
      <patternFill patternType="solid">
        <fgColor rgb="FFC0504D"/>
        <bgColor rgb="FFFF6600"/>
      </patternFill>
    </fill>
    <fill>
      <patternFill patternType="solid">
        <fgColor rgb="FF4F8A3D"/>
        <bgColor rgb="FF666666"/>
      </patternFill>
    </fill>
    <fill>
      <patternFill patternType="solid">
        <fgColor rgb="FF1F3864"/>
        <bgColor rgb="FF1F4E78"/>
      </patternFill>
    </fill>
  </fills>
  <borders count="22">
    <border diagonalUp="false" diagonalDown="false">
      <left/>
      <right/>
      <top/>
      <bottom/>
      <diagonal/>
    </border>
    <border diagonalUp="false" diagonalDown="false">
      <left/>
      <right/>
      <top/>
      <bottom style="thin"/>
      <diagonal/>
    </border>
    <border diagonalUp="false" diagonalDown="false">
      <left/>
      <right/>
      <top/>
      <bottom style="double"/>
      <diagonal/>
    </border>
    <border diagonalUp="false" diagonalDown="false">
      <left/>
      <right/>
      <top style="thin"/>
      <bottom/>
      <diagonal/>
    </border>
    <border diagonalUp="false" diagonalDown="false">
      <left/>
      <right/>
      <top style="thin"/>
      <bottom style="double"/>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 diagonalUp="false" diagonalDown="false">
      <left style="medium"/>
      <right/>
      <top style="medium"/>
      <bottom style="thin"/>
      <diagonal/>
    </border>
    <border diagonalUp="false" diagonalDown="false">
      <left/>
      <right style="medium"/>
      <top style="medium"/>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general" vertical="bottom" textRotation="0" wrapText="false" indent="0" shrinkToFit="false"/>
      <protection locked="true" hidden="false"/>
    </xf>
    <xf numFmtId="165" fontId="18" fillId="6"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8" fillId="7" borderId="0" xfId="0" applyFont="true" applyBorder="true" applyAlignment="true" applyProtection="false">
      <alignment horizontal="general" vertical="bottom" textRotation="0" wrapText="false" indent="0" shrinkToFit="false"/>
      <protection locked="true" hidden="false"/>
    </xf>
    <xf numFmtId="166" fontId="20" fillId="6" borderId="0" xfId="0" applyFont="true" applyBorder="false" applyAlignment="true" applyProtection="false">
      <alignment horizontal="general" vertical="bottom" textRotation="0" wrapText="false" indent="0" shrinkToFit="false"/>
      <protection locked="true" hidden="false"/>
    </xf>
    <xf numFmtId="166" fontId="18" fillId="6" borderId="0" xfId="0" applyFont="true" applyBorder="false" applyAlignment="true" applyProtection="false">
      <alignment horizontal="general" vertical="bottom" textRotation="0" wrapText="false" indent="0" shrinkToFit="false"/>
      <protection locked="true" hidden="false"/>
    </xf>
    <xf numFmtId="167" fontId="20" fillId="6" borderId="0" xfId="0" applyFont="true" applyBorder="false" applyAlignment="true" applyProtection="false">
      <alignment horizontal="general" vertical="bottom" textRotation="0" wrapText="false" indent="0" shrinkToFit="false"/>
      <protection locked="true" hidden="false"/>
    </xf>
    <xf numFmtId="167" fontId="18" fillId="6" borderId="0" xfId="0" applyFont="true" applyBorder="false" applyAlignment="true" applyProtection="false">
      <alignment horizontal="general" vertical="bottom" textRotation="0" wrapText="false" indent="0" shrinkToFit="false"/>
      <protection locked="true" hidden="false"/>
    </xf>
    <xf numFmtId="168" fontId="20" fillId="6"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4" borderId="0" xfId="0" applyFont="true" applyBorder="false" applyAlignment="true" applyProtection="false">
      <alignment horizontal="center" vertical="bottom" textRotation="0" wrapText="false" indent="0" shrinkToFit="false"/>
      <protection locked="true" hidden="false"/>
    </xf>
    <xf numFmtId="164" fontId="13" fillId="8" borderId="0" xfId="0" applyFont="true" applyBorder="false" applyAlignment="tru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left" vertical="center" textRotation="0" wrapText="false" indent="0" shrinkToFit="false"/>
      <protection locked="true" hidden="false"/>
    </xf>
    <xf numFmtId="164" fontId="24" fillId="0" borderId="0" xfId="0" applyFont="true" applyBorder="false" applyAlignment="true" applyProtection="false">
      <alignment horizontal="left" vertical="center" textRotation="0" wrapText="false" indent="0" shrinkToFit="false"/>
      <protection locked="true" hidden="false"/>
    </xf>
    <xf numFmtId="164" fontId="25" fillId="0" borderId="0" xfId="0" applyFont="true" applyBorder="false" applyAlignment="true" applyProtection="false">
      <alignment horizontal="left" vertical="center" textRotation="0" wrapText="false" indent="0" shrinkToFit="false"/>
      <protection locked="true" hidden="false"/>
    </xf>
    <xf numFmtId="164" fontId="14" fillId="8"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6" fontId="25" fillId="0" borderId="0" xfId="0" applyFont="true" applyBorder="false" applyAlignment="true" applyProtection="false">
      <alignment horizontal="right"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6" fontId="16" fillId="9" borderId="0" xfId="0" applyFont="true" applyBorder="false" applyAlignment="true" applyProtection="false">
      <alignment horizontal="right" vertical="bottom" textRotation="0" wrapText="false" indent="0" shrinkToFit="false"/>
      <protection locked="true" hidden="false"/>
    </xf>
    <xf numFmtId="164" fontId="16" fillId="9" borderId="0" xfId="0" applyFont="true" applyBorder="false" applyAlignment="true" applyProtection="false">
      <alignment horizontal="general" vertical="bottom" textRotation="0" wrapText="false" indent="0" shrinkToFit="false"/>
      <protection locked="true" hidden="false"/>
    </xf>
    <xf numFmtId="166" fontId="26" fillId="0" borderId="0" xfId="0" applyFont="true" applyBorder="false" applyAlignment="true" applyProtection="false">
      <alignment horizontal="general" vertical="bottom" textRotation="0" wrapText="false" indent="0" shrinkToFit="false"/>
      <protection locked="true" hidden="false"/>
    </xf>
    <xf numFmtId="166" fontId="26" fillId="8" borderId="0" xfId="0" applyFont="true" applyBorder="false" applyAlignment="tru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center" textRotation="0" wrapText="false" indent="0" shrinkToFit="false"/>
      <protection locked="true" hidden="false"/>
    </xf>
    <xf numFmtId="166" fontId="16" fillId="6"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7" fontId="14" fillId="0" borderId="0" xfId="0" applyFont="true" applyBorder="fals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7" fontId="16" fillId="9" borderId="0" xfId="0" applyFont="true" applyBorder="false" applyAlignment="true" applyProtection="false">
      <alignment horizontal="general" vertical="center" textRotation="0" wrapText="true" indent="0" shrinkToFit="false"/>
      <protection locked="true" hidden="false"/>
    </xf>
    <xf numFmtId="164" fontId="25" fillId="0" borderId="0" xfId="0" applyFont="true" applyBorder="false" applyAlignment="true" applyProtection="false">
      <alignment horizontal="left" vertical="center" textRotation="0" wrapText="true" indent="0" shrinkToFit="false"/>
      <protection locked="true" hidden="false"/>
    </xf>
    <xf numFmtId="166" fontId="26" fillId="0" borderId="0" xfId="0" applyFont="true" applyBorder="false" applyAlignment="true" applyProtection="false">
      <alignment horizontal="left" vertical="center" textRotation="0" wrapText="false" indent="0" shrinkToFit="false"/>
      <protection locked="true" hidden="false"/>
    </xf>
    <xf numFmtId="166" fontId="16" fillId="6" borderId="0" xfId="0" applyFont="true" applyBorder="false" applyAlignment="true" applyProtection="false">
      <alignment horizontal="right"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7" fontId="16" fillId="9" borderId="0" xfId="0" applyFont="true" applyBorder="false" applyAlignment="true" applyProtection="false">
      <alignment horizontal="general" vertical="bottom" textRotation="0" wrapText="false" indent="0" shrinkToFit="false"/>
      <protection locked="true" hidden="false"/>
    </xf>
    <xf numFmtId="166" fontId="26" fillId="0" borderId="0" xfId="0" applyFont="true" applyBorder="false" applyAlignment="true" applyProtection="false">
      <alignment horizontal="right" vertical="bottom"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6" fontId="26" fillId="0" borderId="1" xfId="0" applyFont="true" applyBorder="true" applyAlignment="true" applyProtection="false">
      <alignment horizontal="general" vertical="bottom" textRotation="0" wrapText="false" indent="0" shrinkToFit="false"/>
      <protection locked="true" hidden="false"/>
    </xf>
    <xf numFmtId="166" fontId="18" fillId="0" borderId="0" xfId="0" applyFont="true" applyBorder="false" applyAlignment="true" applyProtection="false">
      <alignment horizontal="right"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6" fontId="18"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6" fontId="18" fillId="0" borderId="0" xfId="0" applyFont="true" applyBorder="false" applyAlignment="true" applyProtection="false">
      <alignment horizontal="left" vertical="bottom" textRotation="0" wrapText="false" indent="0" shrinkToFit="false"/>
      <protection locked="true" hidden="false"/>
    </xf>
    <xf numFmtId="166" fontId="26" fillId="0" borderId="0" xfId="0" applyFont="true" applyBorder="fals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false" indent="0" shrinkToFit="false"/>
      <protection locked="true" hidden="false"/>
    </xf>
    <xf numFmtId="166" fontId="16" fillId="6" borderId="0" xfId="0" applyFont="true" applyBorder="false" applyAlignment="true" applyProtection="false">
      <alignment horizontal="left" vertical="bottom" textRotation="0" wrapText="false" indent="0" shrinkToFit="false"/>
      <protection locked="true" hidden="false"/>
    </xf>
    <xf numFmtId="166" fontId="18" fillId="0" borderId="0" xfId="0" applyFont="true" applyBorder="false" applyAlignment="true" applyProtection="false">
      <alignment horizontal="left" vertical="center" textRotation="0" wrapText="false" indent="0" shrinkToFit="false"/>
      <protection locked="true" hidden="false"/>
    </xf>
    <xf numFmtId="164" fontId="16" fillId="9" borderId="1" xfId="0" applyFont="true" applyBorder="tru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left" vertical="center" textRotation="0" wrapText="false" indent="0" shrinkToFit="false"/>
      <protection locked="true" hidden="false"/>
    </xf>
    <xf numFmtId="164" fontId="25" fillId="0" borderId="0" xfId="0" applyFont="true" applyBorder="false" applyAlignment="true" applyProtection="false">
      <alignment horizontal="center" vertical="center" textRotation="0" wrapText="true" indent="0" shrinkToFit="false"/>
      <protection locked="true" hidden="false"/>
    </xf>
    <xf numFmtId="169" fontId="26" fillId="0" borderId="0" xfId="0" applyFont="true" applyBorder="false" applyAlignment="true" applyProtection="false">
      <alignment horizontal="right" vertical="bottom" textRotation="0" wrapText="false" indent="0" shrinkToFit="false"/>
      <protection locked="true" hidden="false"/>
    </xf>
    <xf numFmtId="169" fontId="26" fillId="8" borderId="0" xfId="0" applyFont="true" applyBorder="false" applyAlignment="true" applyProtection="false">
      <alignment horizontal="general" vertical="bottom" textRotation="0" wrapText="false" indent="0" shrinkToFit="false"/>
      <protection locked="true" hidden="false"/>
    </xf>
    <xf numFmtId="169" fontId="26" fillId="0" borderId="0" xfId="0" applyFont="true" applyBorder="false" applyAlignment="true" applyProtection="false">
      <alignment horizontal="general" vertical="bottom" textRotation="0" wrapText="false" indent="0" shrinkToFit="false"/>
      <protection locked="true" hidden="false"/>
    </xf>
    <xf numFmtId="169" fontId="16" fillId="6" borderId="0" xfId="0" applyFont="true" applyBorder="false" applyAlignment="true" applyProtection="false">
      <alignment horizontal="right" vertical="bottom" textRotation="0" wrapText="false" indent="0" shrinkToFit="false"/>
      <protection locked="true" hidden="false"/>
    </xf>
    <xf numFmtId="169" fontId="16" fillId="6"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true" indent="0" shrinkToFit="false"/>
      <protection locked="true" hidden="false"/>
    </xf>
    <xf numFmtId="168" fontId="26" fillId="0" borderId="0" xfId="0" applyFont="true" applyBorder="false" applyAlignment="true" applyProtection="false">
      <alignment horizontal="general" vertical="bottom" textRotation="0" wrapText="false" indent="0" shrinkToFit="false"/>
      <protection locked="true" hidden="false"/>
    </xf>
    <xf numFmtId="168" fontId="26" fillId="8" borderId="0" xfId="0" applyFont="true" applyBorder="false" applyAlignment="true" applyProtection="false">
      <alignment horizontal="general" vertical="bottom" textRotation="0" wrapText="false" indent="0" shrinkToFit="false"/>
      <protection locked="true" hidden="false"/>
    </xf>
    <xf numFmtId="168" fontId="16" fillId="6" borderId="0" xfId="0" applyFont="true" applyBorder="false" applyAlignment="true" applyProtection="false">
      <alignment horizontal="general" vertical="bottom" textRotation="0" wrapText="false" indent="0" shrinkToFit="false"/>
      <protection locked="true" hidden="false"/>
    </xf>
    <xf numFmtId="170" fontId="16" fillId="9" borderId="0" xfId="0" applyFont="true" applyBorder="false" applyAlignment="true" applyProtection="false">
      <alignment horizontal="right" vertical="bottom" textRotation="0" wrapText="false" indent="0" shrinkToFit="false"/>
      <protection locked="true" hidden="false"/>
    </xf>
    <xf numFmtId="164" fontId="29" fillId="0" borderId="0" xfId="0" applyFont="true" applyBorder="false" applyAlignment="true" applyProtection="false">
      <alignment horizontal="left" vertical="center"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left" vertical="center" textRotation="0" wrapText="true" indent="0" shrinkToFit="false"/>
      <protection locked="true" hidden="false"/>
    </xf>
    <xf numFmtId="164" fontId="30" fillId="0" borderId="0" xfId="0" applyFont="true" applyBorder="false" applyAlignment="true" applyProtection="false">
      <alignment horizontal="left" vertical="center" textRotation="0" wrapText="false" indent="0" shrinkToFit="false"/>
      <protection locked="true" hidden="false"/>
    </xf>
    <xf numFmtId="164" fontId="30" fillId="0" borderId="1" xfId="0" applyFont="true" applyBorder="true" applyAlignment="true" applyProtection="false">
      <alignment horizontal="general" vertical="bottom" textRotation="0" wrapText="false" indent="0" shrinkToFit="false"/>
      <protection locked="true" hidden="false"/>
    </xf>
    <xf numFmtId="164" fontId="31" fillId="10" borderId="0" xfId="0" applyFont="true" applyBorder="false" applyAlignment="true" applyProtection="false">
      <alignment horizontal="left" vertical="center" textRotation="0" wrapText="true" indent="0" shrinkToFit="false"/>
      <protection locked="true" hidden="false"/>
    </xf>
    <xf numFmtId="164" fontId="0" fillId="10" borderId="0" xfId="0" applyFont="false" applyBorder="false" applyAlignment="true" applyProtection="false">
      <alignment horizontal="general" vertical="bottom" textRotation="0" wrapText="false" indent="0" shrinkToFit="false"/>
      <protection locked="true" hidden="false"/>
    </xf>
    <xf numFmtId="164" fontId="14" fillId="1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21" fillId="0" borderId="0" xfId="0" applyFont="true" applyBorder="fals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8" fontId="25" fillId="0" borderId="0" xfId="0" applyFont="true" applyBorder="false" applyAlignment="true" applyProtection="false">
      <alignment horizontal="right" vertical="bottom" textRotation="0" wrapText="false" indent="0" shrinkToFit="false"/>
      <protection locked="true" hidden="false"/>
    </xf>
    <xf numFmtId="168" fontId="25" fillId="8" borderId="0" xfId="0" applyFont="true" applyBorder="false" applyAlignment="true" applyProtection="false">
      <alignment horizontal="right" vertical="bottom" textRotation="0" wrapText="false" indent="0" shrinkToFit="false"/>
      <protection locked="true" hidden="false"/>
    </xf>
    <xf numFmtId="165" fontId="25" fillId="0" borderId="0" xfId="0" applyFont="true" applyBorder="false" applyAlignment="true" applyProtection="false">
      <alignment horizontal="center" vertical="bottom" textRotation="0" wrapText="false" indent="0" shrinkToFit="false"/>
      <protection locked="true" hidden="false"/>
    </xf>
    <xf numFmtId="164" fontId="25" fillId="8" borderId="0" xfId="0" applyFont="true" applyBorder="false" applyAlignment="true" applyProtection="false">
      <alignment horizontal="left" vertical="center" textRotation="0" wrapText="false" indent="0" shrinkToFit="false"/>
      <protection locked="true" hidden="false"/>
    </xf>
    <xf numFmtId="171" fontId="25" fillId="0" borderId="0" xfId="0" applyFont="true" applyBorder="false" applyAlignment="true" applyProtection="false">
      <alignment horizontal="left" vertical="center" textRotation="0" wrapText="false" indent="0" shrinkToFit="false"/>
      <protection locked="true" hidden="false"/>
    </xf>
    <xf numFmtId="171" fontId="25" fillId="8" borderId="0" xfId="0" applyFont="true" applyBorder="false" applyAlignment="true" applyProtection="false">
      <alignment horizontal="left" vertical="center" textRotation="0" wrapText="false" indent="0" shrinkToFit="false"/>
      <protection locked="true" hidden="false"/>
    </xf>
    <xf numFmtId="166" fontId="25" fillId="8"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32"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5" fontId="33" fillId="11"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34" fillId="0" borderId="0" xfId="0" applyFont="true" applyBorder="false" applyAlignment="true" applyProtection="false">
      <alignment horizontal="general" vertical="top" textRotation="0" wrapText="true" indent="0" shrinkToFit="false"/>
      <protection locked="true" hidden="false"/>
    </xf>
    <xf numFmtId="168" fontId="25" fillId="0" borderId="1" xfId="0" applyFont="true" applyBorder="true" applyAlignment="true" applyProtection="false">
      <alignment horizontal="right" vertical="bottom" textRotation="0" wrapText="false" indent="0" shrinkToFit="false"/>
      <protection locked="true" hidden="false"/>
    </xf>
    <xf numFmtId="172" fontId="28" fillId="0" borderId="0" xfId="0" applyFont="true" applyBorder="fals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general" vertical="center" textRotation="0" wrapText="true" indent="0" shrinkToFit="false"/>
      <protection locked="true" hidden="false"/>
    </xf>
    <xf numFmtId="172" fontId="14" fillId="0" borderId="0" xfId="0" applyFont="true" applyBorder="false" applyAlignment="true" applyProtection="false">
      <alignment horizontal="general" vertical="center" textRotation="0" wrapText="true" indent="0" shrinkToFit="false"/>
      <protection locked="true" hidden="false"/>
    </xf>
    <xf numFmtId="164" fontId="25" fillId="0" borderId="0" xfId="0" applyFont="true" applyBorder="false" applyAlignment="true" applyProtection="false">
      <alignment horizontal="general" vertical="top" textRotation="0" wrapText="false" indent="0" shrinkToFit="false"/>
      <protection locked="true" hidden="false"/>
    </xf>
    <xf numFmtId="173" fontId="28"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74" fontId="14" fillId="0" borderId="0" xfId="0" applyFont="true" applyBorder="fals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70" fontId="28" fillId="0" borderId="2" xfId="0" applyFont="true" applyBorder="true" applyAlignment="true" applyProtection="false">
      <alignment horizontal="right" vertical="bottom" textRotation="0" wrapText="false" indent="0" shrinkToFit="false"/>
      <protection locked="true" hidden="false"/>
    </xf>
    <xf numFmtId="172" fontId="25" fillId="0" borderId="0" xfId="0" applyFont="true" applyBorder="false" applyAlignment="true" applyProtection="false">
      <alignment horizontal="left" vertical="center" textRotation="0" wrapText="false" indent="0" shrinkToFit="false"/>
      <protection locked="true" hidden="false"/>
    </xf>
    <xf numFmtId="171" fontId="14" fillId="0" borderId="0" xfId="0" applyFont="true" applyBorder="false" applyAlignment="true" applyProtection="false">
      <alignment horizontal="general" vertical="center" textRotation="0" wrapText="true" indent="0" shrinkToFit="false"/>
      <protection locked="true" hidden="false"/>
    </xf>
    <xf numFmtId="172" fontId="34" fillId="0" borderId="0" xfId="0" applyFont="true" applyBorder="false" applyAlignment="true" applyProtection="false">
      <alignment horizontal="general" vertical="bottom" textRotation="0" wrapText="true" indent="0" shrinkToFit="false"/>
      <protection locked="true" hidden="false"/>
    </xf>
    <xf numFmtId="164" fontId="28" fillId="0" borderId="0" xfId="0" applyFont="true" applyBorder="false" applyAlignment="true" applyProtection="false">
      <alignment horizontal="left" vertical="center" textRotation="0" wrapText="true" indent="0" shrinkToFit="false"/>
      <protection locked="true" hidden="false"/>
    </xf>
    <xf numFmtId="172" fontId="28" fillId="0" borderId="3" xfId="0" applyFont="true" applyBorder="true" applyAlignment="true" applyProtection="false">
      <alignment horizontal="left" vertical="center" textRotation="0" wrapText="false" indent="0" shrinkToFit="false"/>
      <protection locked="true" hidden="false"/>
    </xf>
    <xf numFmtId="172" fontId="28" fillId="0" borderId="4" xfId="0" applyFont="true" applyBorder="true" applyAlignment="true" applyProtection="false">
      <alignment horizontal="left" vertical="center" textRotation="0" wrapText="false" indent="0" shrinkToFit="false"/>
      <protection locked="true" hidden="false"/>
    </xf>
    <xf numFmtId="173" fontId="25" fillId="0" borderId="0" xfId="0" applyFont="true" applyBorder="false" applyAlignment="true" applyProtection="false">
      <alignment horizontal="left" vertical="center"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73" fontId="28" fillId="0" borderId="4" xfId="0" applyFont="true" applyBorder="true" applyAlignment="true" applyProtection="false">
      <alignment horizontal="left" vertical="center" textRotation="0" wrapText="false" indent="0" shrinkToFit="false"/>
      <protection locked="true" hidden="false"/>
    </xf>
    <xf numFmtId="175" fontId="34" fillId="0" borderId="0" xfId="0" applyFont="true" applyBorder="false" applyAlignment="true" applyProtection="false">
      <alignment horizontal="general" vertical="bottom" textRotation="0" wrapText="false" indent="0" shrinkToFit="false"/>
      <protection locked="true" hidden="false"/>
    </xf>
    <xf numFmtId="176" fontId="34" fillId="0" borderId="0" xfId="0" applyFont="true" applyBorder="false" applyAlignment="true" applyProtection="false">
      <alignment horizontal="general" vertical="bottom" textRotation="0" wrapText="false" indent="0" shrinkToFit="false"/>
      <protection locked="true" hidden="false"/>
    </xf>
    <xf numFmtId="173" fontId="34" fillId="0" borderId="0" xfId="0" applyFont="tru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5" fontId="33" fillId="11" borderId="0" xfId="0" applyFont="true" applyBorder="false" applyAlignment="true" applyProtection="false">
      <alignment horizontal="center" vertical="bottom" textRotation="0" wrapText="false" indent="0" shrinkToFit="false"/>
      <protection locked="true" hidden="false"/>
    </xf>
    <xf numFmtId="168" fontId="28" fillId="0" borderId="0" xfId="0" applyFont="true" applyBorder="false" applyAlignment="true" applyProtection="false">
      <alignment horizontal="right" vertical="bottom" textRotation="0" wrapText="false" indent="0" shrinkToFit="false"/>
      <protection locked="true" hidden="false"/>
    </xf>
    <xf numFmtId="171" fontId="28" fillId="0" borderId="0" xfId="0" applyFont="true" applyBorder="false" applyAlignment="true" applyProtection="false">
      <alignment horizontal="left" vertical="center" textRotation="0" wrapText="false" indent="0" shrinkToFit="false"/>
      <protection locked="true" hidden="false"/>
    </xf>
    <xf numFmtId="171" fontId="14"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74" fontId="14" fillId="0" borderId="0" xfId="0" applyFont="true" applyBorder="false" applyAlignment="true" applyProtection="false">
      <alignment horizontal="general" vertical="bottom" textRotation="0" wrapText="false" indent="0" shrinkToFit="false"/>
      <protection locked="true" hidden="false"/>
    </xf>
    <xf numFmtId="177" fontId="25" fillId="0" borderId="0" xfId="0" applyFont="true" applyBorder="false" applyAlignment="true" applyProtection="false">
      <alignment horizontal="left" vertical="center" textRotation="0" wrapText="false" indent="0" shrinkToFit="false"/>
      <protection locked="true" hidden="false"/>
    </xf>
    <xf numFmtId="177" fontId="14" fillId="0" borderId="0" xfId="0" applyFont="true" applyBorder="false" applyAlignment="true" applyProtection="false">
      <alignment horizontal="general" vertical="bottom" textRotation="0" wrapText="false" indent="0" shrinkToFit="false"/>
      <protection locked="true" hidden="false"/>
    </xf>
    <xf numFmtId="177" fontId="28" fillId="0" borderId="0" xfId="0" applyFont="true" applyBorder="false" applyAlignment="true" applyProtection="false">
      <alignment horizontal="left" vertical="center" textRotation="0" wrapText="false" indent="0" shrinkToFit="false"/>
      <protection locked="true" hidden="false"/>
    </xf>
    <xf numFmtId="164" fontId="25" fillId="0" borderId="0" xfId="0" applyFont="true" applyBorder="true" applyAlignment="true" applyProtection="false">
      <alignment horizontal="left" vertical="center" textRotation="0" wrapText="true" indent="0" shrinkToFit="false"/>
      <protection locked="true" hidden="false"/>
    </xf>
    <xf numFmtId="164" fontId="35" fillId="0" borderId="0"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general" vertical="top"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5" fontId="33" fillId="11" borderId="0" xfId="0" applyFont="true" applyBorder="false" applyAlignment="true" applyProtection="false">
      <alignment horizontal="right" vertical="bottom" textRotation="0" wrapText="false" indent="0" shrinkToFit="false"/>
      <protection locked="true" hidden="false"/>
    </xf>
    <xf numFmtId="164" fontId="25" fillId="0" borderId="5" xfId="0" applyFont="true" applyBorder="true" applyAlignment="true" applyProtection="false">
      <alignment horizontal="left" vertical="center" textRotation="0" wrapText="false" indent="0" shrinkToFit="false"/>
      <protection locked="true" hidden="false"/>
    </xf>
    <xf numFmtId="173" fontId="25" fillId="0" borderId="3" xfId="0" applyFont="true" applyBorder="true" applyAlignment="true" applyProtection="false">
      <alignment horizontal="right" vertical="center" textRotation="0" wrapText="false" indent="0" shrinkToFit="false"/>
      <protection locked="true" hidden="false"/>
    </xf>
    <xf numFmtId="173" fontId="14" fillId="0" borderId="3" xfId="0" applyFont="true" applyBorder="true" applyAlignment="true" applyProtection="false">
      <alignment horizontal="general" vertical="bottom" textRotation="0" wrapText="false" indent="0" shrinkToFit="false"/>
      <protection locked="true" hidden="false"/>
    </xf>
    <xf numFmtId="173" fontId="14" fillId="0" borderId="6" xfId="0" applyFont="true" applyBorder="true" applyAlignment="true" applyProtection="false">
      <alignment horizontal="general" vertical="bottom" textRotation="0" wrapText="false" indent="0" shrinkToFit="false"/>
      <protection locked="true" hidden="false"/>
    </xf>
    <xf numFmtId="164" fontId="25" fillId="0" borderId="7" xfId="0" applyFont="true" applyBorder="true" applyAlignment="true" applyProtection="false">
      <alignment horizontal="left" vertical="center" textRotation="0" wrapText="false" indent="0" shrinkToFit="false"/>
      <protection locked="true" hidden="false"/>
    </xf>
    <xf numFmtId="173" fontId="14" fillId="0" borderId="0" xfId="0" applyFont="true" applyBorder="false" applyAlignment="true" applyProtection="false">
      <alignment horizontal="general" vertical="bottom" textRotation="0" wrapText="false" indent="0" shrinkToFit="false"/>
      <protection locked="true" hidden="false"/>
    </xf>
    <xf numFmtId="173" fontId="14" fillId="0" borderId="8" xfId="0" applyFont="true" applyBorder="true" applyAlignment="true" applyProtection="false">
      <alignment horizontal="general" vertical="bottom" textRotation="0" wrapText="false" indent="0" shrinkToFit="false"/>
      <protection locked="true" hidden="false"/>
    </xf>
    <xf numFmtId="173" fontId="27" fillId="0" borderId="0" xfId="0" applyFont="true" applyBorder="false" applyAlignment="true" applyProtection="false">
      <alignment horizontal="right" vertical="center" textRotation="0" wrapText="false" indent="0" shrinkToFit="false"/>
      <protection locked="true" hidden="false"/>
    </xf>
    <xf numFmtId="164" fontId="38" fillId="0" borderId="7" xfId="0" applyFont="true" applyBorder="true" applyAlignment="true" applyProtection="false">
      <alignment horizontal="left" vertical="center" textRotation="0" wrapText="false" indent="0" shrinkToFit="false"/>
      <protection locked="true" hidden="false"/>
    </xf>
    <xf numFmtId="177" fontId="25" fillId="0" borderId="0" xfId="0" applyFont="true" applyBorder="false" applyAlignment="true" applyProtection="false">
      <alignment horizontal="right" vertical="center" textRotation="0" wrapText="false" indent="0" shrinkToFit="false"/>
      <protection locked="true" hidden="false"/>
    </xf>
    <xf numFmtId="177" fontId="14" fillId="0" borderId="8" xfId="0" applyFont="true" applyBorder="true" applyAlignment="true" applyProtection="false">
      <alignment horizontal="general" vertical="bottom" textRotation="0" wrapText="false" indent="0" shrinkToFit="false"/>
      <protection locked="true" hidden="false"/>
    </xf>
    <xf numFmtId="177" fontId="14" fillId="0" borderId="0" xfId="0" applyFont="true" applyBorder="false" applyAlignment="true" applyProtection="false">
      <alignment horizontal="right" vertical="bottom" textRotation="0" wrapText="false" indent="0" shrinkToFit="false"/>
      <protection locked="true" hidden="false"/>
    </xf>
    <xf numFmtId="164" fontId="25" fillId="0" borderId="9" xfId="0" applyFont="true" applyBorder="true" applyAlignment="true" applyProtection="false">
      <alignment horizontal="left" vertical="bottom" textRotation="0" wrapText="true" indent="0" shrinkToFit="false"/>
      <protection locked="true" hidden="false"/>
    </xf>
    <xf numFmtId="164" fontId="38" fillId="0" borderId="10" xfId="0" applyFont="true" applyBorder="true" applyAlignment="true" applyProtection="false">
      <alignment horizontal="left" vertical="center" textRotation="0" wrapText="true" indent="0" shrinkToFit="false"/>
      <protection locked="true" hidden="false"/>
    </xf>
    <xf numFmtId="164" fontId="14" fillId="0" borderId="5" xfId="0" applyFont="true" applyBorder="true" applyAlignment="true" applyProtection="false">
      <alignment horizontal="general" vertical="bottom" textRotation="0" wrapText="false" indent="0" shrinkToFit="false"/>
      <protection locked="true" hidden="false"/>
    </xf>
    <xf numFmtId="164" fontId="14" fillId="0" borderId="3" xfId="0" applyFont="true" applyBorder="true" applyAlignment="true" applyProtection="false">
      <alignment horizontal="right" vertical="bottom" textRotation="0" wrapText="false" indent="0" shrinkToFit="false"/>
      <protection locked="true" hidden="false"/>
    </xf>
    <xf numFmtId="164" fontId="14" fillId="0" borderId="3" xfId="0" applyFont="true" applyBorder="true" applyAlignment="true" applyProtection="false">
      <alignment horizontal="general" vertical="bottom" textRotation="0" wrapText="false" indent="0" shrinkToFit="false"/>
      <protection locked="true" hidden="false"/>
    </xf>
    <xf numFmtId="164" fontId="14" fillId="0" borderId="6" xfId="0" applyFont="true" applyBorder="true" applyAlignment="true" applyProtection="false">
      <alignment horizontal="general" vertical="bottom" textRotation="0" wrapText="false" indent="0" shrinkToFit="false"/>
      <protection locked="true" hidden="false"/>
    </xf>
    <xf numFmtId="173" fontId="25" fillId="0" borderId="0" xfId="0" applyFont="true" applyBorder="false" applyAlignment="true" applyProtection="false">
      <alignment horizontal="right" vertical="center" textRotation="0" wrapText="false" indent="0" shrinkToFit="false"/>
      <protection locked="true" hidden="false"/>
    </xf>
    <xf numFmtId="178" fontId="14" fillId="0" borderId="0" xfId="0" applyFont="true" applyBorder="false" applyAlignment="true" applyProtection="false">
      <alignment horizontal="general" vertical="bottom" textRotation="0" wrapText="false" indent="0" shrinkToFit="false"/>
      <protection locked="true" hidden="false"/>
    </xf>
    <xf numFmtId="178" fontId="14" fillId="0" borderId="8" xfId="0" applyFont="true" applyBorder="true" applyAlignment="true" applyProtection="false">
      <alignment horizontal="general" vertical="bottom" textRotation="0" wrapText="false" indent="0" shrinkToFit="false"/>
      <protection locked="true" hidden="false"/>
    </xf>
    <xf numFmtId="171" fontId="25" fillId="0" borderId="0" xfId="0" applyFont="true" applyBorder="false" applyAlignment="true" applyProtection="false">
      <alignment horizontal="right" vertical="center" textRotation="0" wrapText="false" indent="0" shrinkToFit="false"/>
      <protection locked="true" hidden="false"/>
    </xf>
    <xf numFmtId="164" fontId="38" fillId="0" borderId="0" xfId="0" applyFont="true" applyBorder="false" applyAlignment="true" applyProtection="false">
      <alignment horizontal="left" vertical="center" textRotation="0" wrapText="false" indent="0" shrinkToFit="false"/>
      <protection locked="true" hidden="false"/>
    </xf>
    <xf numFmtId="164" fontId="38" fillId="0" borderId="11" xfId="0" applyFont="true" applyBorder="true" applyAlignment="true" applyProtection="false">
      <alignment horizontal="left" vertical="center" textRotation="0" wrapText="false" indent="0" shrinkToFit="false"/>
      <protection locked="true" hidden="false"/>
    </xf>
    <xf numFmtId="177" fontId="14" fillId="0" borderId="1" xfId="0" applyFont="true" applyBorder="true" applyAlignment="true" applyProtection="false">
      <alignment horizontal="right" vertical="bottom" textRotation="0" wrapText="false" indent="0" shrinkToFit="false"/>
      <protection locked="true" hidden="false"/>
    </xf>
    <xf numFmtId="177" fontId="25" fillId="0" borderId="1" xfId="0" applyFont="true" applyBorder="true" applyAlignment="true" applyProtection="false">
      <alignment horizontal="right" vertical="center" textRotation="0" wrapText="false" indent="0" shrinkToFit="false"/>
      <protection locked="true" hidden="false"/>
    </xf>
    <xf numFmtId="177" fontId="14" fillId="0" borderId="1" xfId="0" applyFont="true" applyBorder="true" applyAlignment="true" applyProtection="false">
      <alignment horizontal="general" vertical="bottom" textRotation="0" wrapText="false" indent="0" shrinkToFit="false"/>
      <protection locked="true" hidden="false"/>
    </xf>
    <xf numFmtId="177" fontId="14" fillId="0" borderId="12" xfId="0" applyFont="true" applyBorder="true" applyAlignment="true" applyProtection="false">
      <alignment horizontal="general" vertical="bottom" textRotation="0" wrapText="false" indent="0" shrinkToFit="false"/>
      <protection locked="true" hidden="false"/>
    </xf>
    <xf numFmtId="171" fontId="14" fillId="0" borderId="8" xfId="0" applyFont="true" applyBorder="true" applyAlignment="true" applyProtection="false">
      <alignment horizontal="general" vertical="bottom" textRotation="0" wrapText="false" indent="0" shrinkToFit="false"/>
      <protection locked="true" hidden="false"/>
    </xf>
    <xf numFmtId="178" fontId="25" fillId="0" borderId="0" xfId="0" applyFont="true" applyBorder="false" applyAlignment="true" applyProtection="false">
      <alignment horizontal="right" vertical="center" textRotation="0" wrapText="false" indent="0" shrinkToFit="false"/>
      <protection locked="true" hidden="false"/>
    </xf>
    <xf numFmtId="171" fontId="25" fillId="0" borderId="3" xfId="0" applyFont="true" applyBorder="true" applyAlignment="true" applyProtection="false">
      <alignment horizontal="right" vertical="center" textRotation="0" wrapText="false" indent="0" shrinkToFit="false"/>
      <protection locked="true" hidden="false"/>
    </xf>
    <xf numFmtId="178" fontId="14" fillId="0" borderId="3" xfId="0" applyFont="true" applyBorder="true" applyAlignment="true" applyProtection="false">
      <alignment horizontal="general" vertical="bottom" textRotation="0" wrapText="false" indent="0" shrinkToFit="false"/>
      <protection locked="true" hidden="false"/>
    </xf>
    <xf numFmtId="178" fontId="14" fillId="0" borderId="6" xfId="0" applyFont="true" applyBorder="true" applyAlignment="true" applyProtection="false">
      <alignment horizontal="general" vertical="bottom" textRotation="0" wrapText="false" indent="0" shrinkToFit="false"/>
      <protection locked="true" hidden="false"/>
    </xf>
    <xf numFmtId="164" fontId="14" fillId="0" borderId="8" xfId="0" applyFont="true" applyBorder="true" applyAlignment="true" applyProtection="false">
      <alignment horizontal="general" vertical="bottom" textRotation="0" wrapText="false" indent="0" shrinkToFit="false"/>
      <protection locked="true" hidden="false"/>
    </xf>
    <xf numFmtId="164" fontId="14" fillId="0" borderId="7" xfId="0" applyFont="true" applyBorder="true" applyAlignment="true" applyProtection="false">
      <alignment horizontal="general" vertical="bottom" textRotation="0" wrapText="false" indent="0" shrinkToFit="false"/>
      <protection locked="true" hidden="false"/>
    </xf>
    <xf numFmtId="164" fontId="25" fillId="0" borderId="1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true" applyAlignment="true" applyProtection="false">
      <alignment horizontal="left" vertical="center" textRotation="0" wrapText="false" indent="0" shrinkToFit="false"/>
      <protection locked="true" hidden="false"/>
    </xf>
    <xf numFmtId="164" fontId="28" fillId="0" borderId="1" xfId="0" applyFont="true" applyBorder="true" applyAlignment="true" applyProtection="false">
      <alignment horizontal="general" vertical="bottom" textRotation="0" wrapText="false" indent="0" shrinkToFit="false"/>
      <protection locked="true" hidden="false"/>
    </xf>
    <xf numFmtId="179" fontId="14" fillId="0" borderId="0" xfId="0" applyFont="true" applyBorder="false" applyAlignment="true" applyProtection="false">
      <alignment horizontal="general" vertical="bottom" textRotation="0" wrapText="false" indent="0" shrinkToFit="false"/>
      <protection locked="true" hidden="false"/>
    </xf>
    <xf numFmtId="180" fontId="14" fillId="0" borderId="0" xfId="0" applyFont="true" applyBorder="false" applyAlignment="true" applyProtection="false">
      <alignment horizontal="general" vertical="bottom" textRotation="0" wrapText="false" indent="0" shrinkToFit="false"/>
      <protection locked="true" hidden="false"/>
    </xf>
    <xf numFmtId="179" fontId="25" fillId="0" borderId="0" xfId="0" applyFont="true" applyBorder="false" applyAlignment="true" applyProtection="false">
      <alignment horizontal="left" vertical="center" textRotation="0" wrapText="false" indent="0" shrinkToFit="false"/>
      <protection locked="true" hidden="false"/>
    </xf>
    <xf numFmtId="173" fontId="39" fillId="0" borderId="0" xfId="0" applyFont="true" applyBorder="false" applyAlignment="true" applyProtection="false">
      <alignment horizontal="general" vertical="bottom" textRotation="0" wrapText="false" indent="0" shrinkToFit="false"/>
      <protection locked="true" hidden="false"/>
    </xf>
    <xf numFmtId="166" fontId="25" fillId="0" borderId="0" xfId="0" applyFont="true" applyBorder="false" applyAlignment="true" applyProtection="false">
      <alignment horizontal="left" vertical="center"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left" vertical="center" textRotation="0" wrapText="false" indent="0" shrinkToFit="false"/>
      <protection locked="true" hidden="false"/>
    </xf>
    <xf numFmtId="174" fontId="16" fillId="0" borderId="0" xfId="0" applyFont="true" applyBorder="false" applyAlignment="true" applyProtection="false">
      <alignment horizontal="general" vertical="bottom" textRotation="0" wrapText="false" indent="0" shrinkToFit="false"/>
      <protection locked="true" hidden="false"/>
    </xf>
    <xf numFmtId="174" fontId="28" fillId="0" borderId="0" xfId="0" applyFont="true" applyBorder="false" applyAlignment="true" applyProtection="false">
      <alignment horizontal="left" vertical="center"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74" fontId="25"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right" vertical="center" textRotation="0" wrapText="true" indent="0" shrinkToFit="false"/>
      <protection locked="true" hidden="false"/>
    </xf>
    <xf numFmtId="171" fontId="14" fillId="0" borderId="0" xfId="0" applyFont="true" applyBorder="false" applyAlignment="true" applyProtection="false">
      <alignment horizontal="right" vertical="center" textRotation="0" wrapText="true" indent="0" shrinkToFit="false"/>
      <protection locked="true" hidden="false"/>
    </xf>
    <xf numFmtId="164" fontId="14" fillId="0" borderId="0" xfId="0" applyFont="true" applyBorder="false" applyAlignment="true" applyProtection="false">
      <alignment horizontal="right" vertical="center" textRotation="0" wrapText="true" indent="0" shrinkToFit="false"/>
      <protection locked="true" hidden="false"/>
    </xf>
    <xf numFmtId="171" fontId="16" fillId="0" borderId="0" xfId="0" applyFont="true" applyBorder="false" applyAlignment="true" applyProtection="false">
      <alignment horizontal="right" vertical="center" textRotation="0" wrapText="true" indent="0" shrinkToFit="false"/>
      <protection locked="true" hidden="false"/>
    </xf>
    <xf numFmtId="164" fontId="24" fillId="4" borderId="0" xfId="0" applyFont="true" applyBorder="true" applyAlignment="true" applyProtection="false">
      <alignment horizontal="left" vertical="center" textRotation="0" wrapText="false" indent="0" shrinkToFit="false"/>
      <protection locked="true" hidden="false"/>
    </xf>
    <xf numFmtId="164" fontId="38" fillId="0" borderId="0" xfId="0" applyFont="true" applyBorder="true" applyAlignment="true" applyProtection="false">
      <alignment horizontal="left" vertical="center" textRotation="0" wrapText="tru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left" vertical="center" textRotation="0" wrapText="true" indent="0" shrinkToFit="false"/>
      <protection locked="true" hidden="false"/>
    </xf>
    <xf numFmtId="181" fontId="25" fillId="0" borderId="0" xfId="0" applyFont="true" applyBorder="false" applyAlignment="true" applyProtection="false">
      <alignment horizontal="general" vertical="center" textRotation="0" wrapText="true" indent="0" shrinkToFit="false"/>
      <protection locked="true" hidden="false"/>
    </xf>
    <xf numFmtId="170" fontId="25" fillId="5" borderId="13" xfId="0" applyFont="true" applyBorder="true" applyAlignment="true" applyProtection="false">
      <alignment horizontal="right" vertical="bottom" textRotation="0" wrapText="false" indent="0" shrinkToFit="false"/>
      <protection locked="true" hidden="false"/>
    </xf>
    <xf numFmtId="164" fontId="42" fillId="4" borderId="13" xfId="0" applyFont="true" applyBorder="true" applyAlignment="true" applyProtection="false">
      <alignment horizontal="left" vertical="center" textRotation="0" wrapText="false" indent="0" shrinkToFit="false"/>
      <protection locked="true" hidden="false"/>
    </xf>
    <xf numFmtId="164" fontId="42" fillId="4" borderId="13" xfId="0" applyFont="true" applyBorder="true" applyAlignment="true" applyProtection="false">
      <alignment horizontal="left" vertical="center" textRotation="0" wrapText="true" indent="0" shrinkToFit="false"/>
      <protection locked="true" hidden="false"/>
    </xf>
    <xf numFmtId="164" fontId="25" fillId="0" borderId="13" xfId="0" applyFont="true" applyBorder="true" applyAlignment="true" applyProtection="false">
      <alignment horizontal="left" vertical="center" textRotation="0" wrapText="false" indent="0" shrinkToFit="false"/>
      <protection locked="true" hidden="false"/>
    </xf>
    <xf numFmtId="166" fontId="25" fillId="0" borderId="13" xfId="0" applyFont="true" applyBorder="true" applyAlignment="true" applyProtection="false">
      <alignment horizontal="right" vertical="bottom" textRotation="0" wrapText="false" indent="0" shrinkToFit="false"/>
      <protection locked="true" hidden="false"/>
    </xf>
    <xf numFmtId="168" fontId="25" fillId="0" borderId="13" xfId="0" applyFont="true" applyBorder="true" applyAlignment="true" applyProtection="false">
      <alignment horizontal="right" vertical="bottom" textRotation="0" wrapText="false" indent="0" shrinkToFit="false"/>
      <protection locked="true" hidden="false"/>
    </xf>
    <xf numFmtId="182" fontId="25" fillId="0" borderId="13" xfId="0" applyFont="true" applyBorder="true" applyAlignment="true" applyProtection="false">
      <alignment horizontal="left" vertical="center" textRotation="0" wrapText="false" indent="0" shrinkToFit="false"/>
      <protection locked="true" hidden="false"/>
    </xf>
    <xf numFmtId="164" fontId="28" fillId="12" borderId="3" xfId="0" applyFont="true" applyBorder="true" applyAlignment="true" applyProtection="false">
      <alignment horizontal="left" vertical="center" textRotation="0" wrapText="false" indent="0" shrinkToFit="false"/>
      <protection locked="true" hidden="false"/>
    </xf>
    <xf numFmtId="164" fontId="14" fillId="12" borderId="3" xfId="0" applyFont="true" applyBorder="true" applyAlignment="true" applyProtection="false">
      <alignment horizontal="general" vertical="bottom" textRotation="0" wrapText="false" indent="0" shrinkToFit="false"/>
      <protection locked="true" hidden="false"/>
    </xf>
    <xf numFmtId="182" fontId="28" fillId="12" borderId="3" xfId="0" applyFont="true" applyBorder="true" applyAlignment="true" applyProtection="false">
      <alignment horizontal="left" vertical="center" textRotation="0" wrapText="false" indent="0" shrinkToFit="false"/>
      <protection locked="true" hidden="false"/>
    </xf>
    <xf numFmtId="183" fontId="38" fillId="0" borderId="0" xfId="0" applyFont="true" applyBorder="false" applyAlignment="true" applyProtection="false">
      <alignment horizontal="left" vertical="center" textRotation="0" wrapText="false" indent="0" shrinkToFit="false"/>
      <protection locked="true" hidden="false"/>
    </xf>
    <xf numFmtId="168" fontId="25" fillId="0" borderId="13" xfId="0" applyFont="true" applyBorder="true" applyAlignment="true" applyProtection="false">
      <alignment horizontal="general" vertical="bottom" textRotation="0" wrapText="false" indent="0" shrinkToFit="false"/>
      <protection locked="true" hidden="false"/>
    </xf>
    <xf numFmtId="182" fontId="28" fillId="0" borderId="13" xfId="0" applyFont="true" applyBorder="true" applyAlignment="true" applyProtection="false">
      <alignment horizontal="general" vertical="center" textRotation="0" wrapText="false" indent="0" shrinkToFit="false"/>
      <protection locked="true" hidden="false"/>
    </xf>
    <xf numFmtId="166" fontId="25" fillId="0" borderId="13" xfId="0" applyFont="true" applyBorder="true" applyAlignment="true" applyProtection="false">
      <alignment horizontal="general" vertical="bottom" textRotation="0" wrapText="false" indent="0" shrinkToFit="false"/>
      <protection locked="true" hidden="false"/>
    </xf>
    <xf numFmtId="164" fontId="42" fillId="4" borderId="0" xfId="0" applyFont="true" applyBorder="true" applyAlignment="true" applyProtection="false">
      <alignment horizontal="left" vertical="center" textRotation="0" wrapText="false" indent="0" shrinkToFit="false"/>
      <protection locked="true" hidden="false"/>
    </xf>
    <xf numFmtId="164" fontId="38" fillId="0" borderId="0" xfId="0" applyFont="true" applyBorder="true" applyAlignment="true" applyProtection="false">
      <alignment horizontal="left" vertical="center" textRotation="0" wrapText="false" indent="0" shrinkToFit="false"/>
      <protection locked="true" hidden="false"/>
    </xf>
    <xf numFmtId="164" fontId="38" fillId="0" borderId="13" xfId="0" applyFont="true" applyBorder="true" applyAlignment="true" applyProtection="false">
      <alignment horizontal="left" vertical="center" textRotation="0" wrapText="false" indent="0" shrinkToFit="false"/>
      <protection locked="true" hidden="false"/>
    </xf>
    <xf numFmtId="183" fontId="28" fillId="12" borderId="3" xfId="0" applyFont="true" applyBorder="true" applyAlignment="true" applyProtection="false">
      <alignment horizontal="left" vertical="center" textRotation="0" wrapText="false" indent="0" shrinkToFit="false"/>
      <protection locked="true" hidden="false"/>
    </xf>
    <xf numFmtId="168" fontId="25" fillId="5" borderId="13" xfId="0" applyFont="true" applyBorder="true" applyAlignment="true" applyProtection="false">
      <alignment horizontal="right" vertical="bottom" textRotation="0" wrapText="false" indent="0" shrinkToFit="false"/>
      <protection locked="true" hidden="false"/>
    </xf>
    <xf numFmtId="168" fontId="25" fillId="12" borderId="3" xfId="0" applyFont="true" applyBorder="true" applyAlignment="true" applyProtection="false">
      <alignment horizontal="right" vertical="bottom" textRotation="0" wrapText="false" indent="0" shrinkToFit="false"/>
      <protection locked="true" hidden="false"/>
    </xf>
    <xf numFmtId="164" fontId="38" fillId="12" borderId="3" xfId="0" applyFont="true" applyBorder="true" applyAlignment="true" applyProtection="false">
      <alignment horizontal="left" vertical="center" textRotation="0" wrapText="false" indent="0" shrinkToFit="false"/>
      <protection locked="true" hidden="false"/>
    </xf>
    <xf numFmtId="182" fontId="25" fillId="0" borderId="0" xfId="0" applyFont="true" applyBorder="false" applyAlignment="true" applyProtection="false">
      <alignment horizontal="left" vertical="center" textRotation="0" wrapText="false" indent="0" shrinkToFit="false"/>
      <protection locked="true" hidden="false"/>
    </xf>
    <xf numFmtId="182" fontId="20" fillId="5" borderId="13" xfId="0" applyFont="true" applyBorder="true" applyAlignment="true" applyProtection="false">
      <alignment horizontal="general" vertical="bottom" textRotation="0" wrapText="false" indent="0" shrinkToFit="false"/>
      <protection locked="true" hidden="false"/>
    </xf>
    <xf numFmtId="164" fontId="31" fillId="1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9" fontId="18" fillId="0" borderId="0" xfId="0" applyFont="true" applyBorder="false" applyAlignment="true" applyProtection="false">
      <alignment horizontal="general" vertical="bottom" textRotation="0" wrapText="false" indent="0" shrinkToFit="false"/>
      <protection locked="true" hidden="false"/>
    </xf>
    <xf numFmtId="168" fontId="18" fillId="0" borderId="0" xfId="0" applyFont="true" applyBorder="false" applyAlignment="true" applyProtection="false">
      <alignment horizontal="general" vertical="bottom" textRotation="0" wrapText="false" indent="0" shrinkToFit="false"/>
      <protection locked="true" hidden="false"/>
    </xf>
    <xf numFmtId="164" fontId="19" fillId="7" borderId="0" xfId="0" applyFont="true" applyBorder="true" applyAlignment="true" applyProtection="false">
      <alignment horizontal="general" vertical="bottom" textRotation="0" wrapText="false" indent="0" shrinkToFit="false"/>
      <protection locked="true" hidden="false"/>
    </xf>
    <xf numFmtId="168" fontId="44" fillId="0" borderId="0" xfId="0" applyFont="true" applyBorder="false" applyAlignment="true" applyProtection="false">
      <alignment horizontal="general" vertical="bottom" textRotation="0" wrapText="false" indent="0" shrinkToFit="false"/>
      <protection locked="true" hidden="false"/>
    </xf>
    <xf numFmtId="168" fontId="25" fillId="0" borderId="0" xfId="0" applyFont="true" applyBorder="false" applyAlignment="true" applyProtection="false">
      <alignment horizontal="general" vertical="bottom" textRotation="0" wrapText="false" indent="0" shrinkToFit="false"/>
      <protection locked="true" hidden="false"/>
    </xf>
    <xf numFmtId="168" fontId="21" fillId="0" borderId="3" xfId="0" applyFont="true" applyBorder="true" applyAlignment="true" applyProtection="false">
      <alignment horizontal="general" vertical="bottom" textRotation="0" wrapText="false" indent="0" shrinkToFit="false"/>
      <protection locked="true" hidden="false"/>
    </xf>
    <xf numFmtId="168" fontId="44" fillId="0" borderId="3" xfId="0" applyFont="true" applyBorder="true" applyAlignment="true" applyProtection="false">
      <alignment horizontal="general" vertical="bottom" textRotation="0" wrapText="false" indent="0" shrinkToFit="false"/>
      <protection locked="true" hidden="false"/>
    </xf>
    <xf numFmtId="168" fontId="20" fillId="0" borderId="0" xfId="0" applyFont="true" applyBorder="false" applyAlignment="true" applyProtection="false">
      <alignment horizontal="general" vertical="bottom" textRotation="0" wrapText="false" indent="0" shrinkToFit="false"/>
      <protection locked="true" hidden="false"/>
    </xf>
    <xf numFmtId="166" fontId="43" fillId="0" borderId="0" xfId="0" applyFont="true" applyBorder="false" applyAlignment="true" applyProtection="false">
      <alignment horizontal="general" vertical="bottom" textRotation="0" wrapText="false" indent="0" shrinkToFit="false"/>
      <protection locked="true" hidden="false"/>
    </xf>
    <xf numFmtId="168" fontId="21"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64" fontId="18" fillId="6" borderId="0" xfId="0" applyFont="true" applyBorder="false" applyAlignment="true" applyProtection="false">
      <alignment horizontal="general" vertical="bottom" textRotation="0" wrapText="false" indent="0" shrinkToFit="false"/>
      <protection locked="true" hidden="false"/>
    </xf>
    <xf numFmtId="164" fontId="31" fillId="13" borderId="0" xfId="0" applyFont="true" applyBorder="fals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47" fillId="0" borderId="0" xfId="0" applyFont="true" applyBorder="true" applyAlignment="true" applyProtection="false">
      <alignment horizontal="general" vertical="bottom" textRotation="0" wrapText="true" indent="0" shrinkToFit="false"/>
      <protection locked="true" hidden="false"/>
    </xf>
    <xf numFmtId="164" fontId="48" fillId="0" borderId="0" xfId="0" applyFont="true" applyBorder="true" applyAlignment="true" applyProtection="false">
      <alignment horizontal="general" vertical="bottom" textRotation="0" wrapText="true" indent="0" shrinkToFit="false"/>
      <protection locked="true" hidden="false"/>
    </xf>
    <xf numFmtId="164" fontId="31"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49" fillId="15" borderId="0" xfId="0" applyFont="true" applyBorder="false" applyAlignment="true" applyProtection="false">
      <alignment horizontal="general" vertical="bottom" textRotation="0" wrapText="false" indent="0" shrinkToFit="false"/>
      <protection locked="true" hidden="false"/>
    </xf>
    <xf numFmtId="164" fontId="0" fillId="15" borderId="0" xfId="0" applyFont="false" applyBorder="false" applyAlignment="true" applyProtection="false">
      <alignment horizontal="general" vertical="bottom" textRotation="0" wrapText="false" indent="0" shrinkToFit="false"/>
      <protection locked="true" hidden="false"/>
    </xf>
    <xf numFmtId="182" fontId="18" fillId="0" borderId="0" xfId="0" applyFont="true" applyBorder="false" applyAlignment="true" applyProtection="false">
      <alignment horizontal="general" vertical="bottom" textRotation="0" wrapText="false" indent="0" shrinkToFit="false"/>
      <protection locked="true" hidden="false"/>
    </xf>
    <xf numFmtId="182" fontId="34" fillId="0" borderId="0" xfId="0" applyFont="true" applyBorder="false" applyAlignment="true" applyProtection="false">
      <alignment horizontal="general" vertical="bottom" textRotation="0" wrapText="false" indent="0" shrinkToFit="false"/>
      <protection locked="true" hidden="false"/>
    </xf>
    <xf numFmtId="182" fontId="16" fillId="0" borderId="0" xfId="0" applyFont="true" applyBorder="false" applyAlignment="true" applyProtection="false">
      <alignment horizontal="general" vertical="bottom" textRotation="0" wrapText="false" indent="0" shrinkToFit="false"/>
      <protection locked="true" hidden="false"/>
    </xf>
    <xf numFmtId="182" fontId="8" fillId="0" borderId="0" xfId="0" applyFont="true" applyBorder="false" applyAlignment="true" applyProtection="false">
      <alignment horizontal="general" vertical="bottom" textRotation="0" wrapText="false" indent="0" shrinkToFit="false"/>
      <protection locked="true" hidden="false"/>
    </xf>
    <xf numFmtId="164" fontId="49" fillId="10" borderId="0" xfId="0" applyFont="true" applyBorder="false" applyAlignment="tru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general" vertical="bottom" textRotation="0" wrapText="false" indent="0" shrinkToFit="false"/>
      <protection locked="true" hidden="false"/>
    </xf>
    <xf numFmtId="164" fontId="0" fillId="16" borderId="0" xfId="0" applyFont="fals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left" vertical="center" textRotation="0" wrapText="false" indent="0" shrinkToFit="false"/>
      <protection locked="true" hidden="false"/>
    </xf>
    <xf numFmtId="164" fontId="25" fillId="0" borderId="14" xfId="0" applyFont="true" applyBorder="true" applyAlignment="true" applyProtection="false">
      <alignment horizontal="left" vertical="center" textRotation="0" wrapText="false" indent="0" shrinkToFit="false"/>
      <protection locked="true" hidden="false"/>
    </xf>
    <xf numFmtId="167" fontId="14" fillId="0" borderId="15" xfId="0" applyFont="true" applyBorder="true" applyAlignment="true" applyProtection="false">
      <alignment horizontal="general" vertical="bottom" textRotation="0" wrapText="false" indent="0" shrinkToFit="false"/>
      <protection locked="true" hidden="false"/>
    </xf>
    <xf numFmtId="164" fontId="16" fillId="9" borderId="16" xfId="0" applyFont="true" applyBorder="true" applyAlignment="true" applyProtection="false">
      <alignment horizontal="left" vertical="center" textRotation="0" wrapText="false" indent="0" shrinkToFit="false"/>
      <protection locked="true" hidden="false"/>
    </xf>
    <xf numFmtId="167" fontId="14" fillId="0" borderId="17" xfId="0" applyFont="true" applyBorder="true" applyAlignment="true" applyProtection="false">
      <alignment horizontal="general" vertical="bottom" textRotation="0" wrapText="false" indent="0" shrinkToFit="false"/>
      <protection locked="true" hidden="false"/>
    </xf>
    <xf numFmtId="164" fontId="25" fillId="0" borderId="18" xfId="0" applyFont="true" applyBorder="true" applyAlignment="true" applyProtection="false">
      <alignment horizontal="left" vertical="center" textRotation="0" wrapText="false" indent="0" shrinkToFit="false"/>
      <protection locked="true" hidden="false"/>
    </xf>
    <xf numFmtId="167" fontId="26" fillId="0" borderId="19" xfId="0" applyFont="true" applyBorder="true" applyAlignment="true" applyProtection="false">
      <alignment horizontal="general" vertical="bottom" textRotation="0" wrapText="false" indent="0" shrinkToFit="false"/>
      <protection locked="true" hidden="false"/>
    </xf>
    <xf numFmtId="167" fontId="26" fillId="0" borderId="0" xfId="0" applyFont="true" applyBorder="false" applyAlignment="true" applyProtection="false">
      <alignment horizontal="general" vertical="bottom" textRotation="0" wrapText="false" indent="0" shrinkToFit="false"/>
      <protection locked="true" hidden="false"/>
    </xf>
    <xf numFmtId="164" fontId="25" fillId="0" borderId="20" xfId="0" applyFont="true" applyBorder="true" applyAlignment="true" applyProtection="false">
      <alignment horizontal="left" vertical="center" textRotation="0" wrapText="false" indent="0" shrinkToFit="false"/>
      <protection locked="true" hidden="false"/>
    </xf>
    <xf numFmtId="164" fontId="26" fillId="0" borderId="21" xfId="0" applyFont="true" applyBorder="true" applyAlignment="true" applyProtection="false">
      <alignment horizontal="left" vertical="center" textRotation="0" wrapText="false" indent="0" shrinkToFit="false"/>
      <protection locked="true" hidden="false"/>
    </xf>
    <xf numFmtId="164" fontId="16" fillId="0" borderId="16" xfId="0" applyFont="true" applyBorder="true" applyAlignment="true" applyProtection="false">
      <alignment horizontal="general" vertical="bottom" textRotation="0" wrapText="false" indent="0" shrinkToFit="false"/>
      <protection locked="true" hidden="false"/>
    </xf>
    <xf numFmtId="167" fontId="16" fillId="6" borderId="17" xfId="0" applyFont="true" applyBorder="true" applyAlignment="true" applyProtection="false">
      <alignment horizontal="general" vertical="bottom" textRotation="0" wrapText="false" indent="0" shrinkToFit="false"/>
      <protection locked="true" hidden="false"/>
    </xf>
    <xf numFmtId="164" fontId="25" fillId="0" borderId="16" xfId="0" applyFont="true" applyBorder="true" applyAlignment="true" applyProtection="false">
      <alignment horizontal="left" vertical="center"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64" fontId="14" fillId="0" borderId="16" xfId="0" applyFont="true" applyBorder="true" applyAlignment="true" applyProtection="false">
      <alignment horizontal="general" vertical="bottom" textRotation="0" wrapText="false" indent="0" shrinkToFit="false"/>
      <protection locked="true" hidden="false"/>
    </xf>
    <xf numFmtId="167" fontId="18" fillId="0" borderId="17" xfId="0" applyFont="true" applyBorder="true" applyAlignment="true" applyProtection="false">
      <alignment horizontal="general" vertical="bottom" textRotation="0" wrapText="false" indent="0" shrinkToFit="false"/>
      <protection locked="true" hidden="false"/>
    </xf>
    <xf numFmtId="167" fontId="26" fillId="0" borderId="17" xfId="0" applyFont="true" applyBorder="true" applyAlignment="true" applyProtection="false">
      <alignment horizontal="general" vertical="bottom" textRotation="0" wrapText="false" indent="0" shrinkToFit="false"/>
      <protection locked="true" hidden="false"/>
    </xf>
    <xf numFmtId="164" fontId="16" fillId="0" borderId="16" xfId="0" applyFont="true" applyBorder="true" applyAlignment="true" applyProtection="false">
      <alignment horizontal="left" vertical="center" textRotation="0" wrapText="false" indent="0" shrinkToFit="false"/>
      <protection locked="true" hidden="false"/>
    </xf>
    <xf numFmtId="164" fontId="14" fillId="0" borderId="17" xfId="0" applyFont="true" applyBorder="true" applyAlignment="true" applyProtection="false">
      <alignment horizontal="general" vertical="bottom" textRotation="0" wrapText="false" indent="0" shrinkToFit="false"/>
      <protection locked="true" hidden="false"/>
    </xf>
    <xf numFmtId="170" fontId="14" fillId="0" borderId="17" xfId="0" applyFont="true" applyBorder="true" applyAlignment="true" applyProtection="false">
      <alignment horizontal="general" vertical="bottom" textRotation="0" wrapText="false" indent="0" shrinkToFit="false"/>
      <protection locked="true" hidden="false"/>
    </xf>
    <xf numFmtId="182" fontId="26" fillId="0" borderId="17" xfId="0" applyFont="true" applyBorder="true" applyAlignment="true" applyProtection="false">
      <alignment horizontal="general" vertical="bottom" textRotation="0" wrapText="false" indent="0" shrinkToFit="false"/>
      <protection locked="true" hidden="false"/>
    </xf>
    <xf numFmtId="182" fontId="18" fillId="0" borderId="17" xfId="0" applyFont="true" applyBorder="true" applyAlignment="true" applyProtection="false">
      <alignment horizontal="general" vertical="bottom" textRotation="0" wrapText="false" indent="0" shrinkToFit="false"/>
      <protection locked="true" hidden="false"/>
    </xf>
    <xf numFmtId="182" fontId="16" fillId="0" borderId="19" xfId="0" applyFont="true" applyBorder="true" applyAlignment="true" applyProtection="false">
      <alignment horizontal="general" vertical="bottom" textRotation="0" wrapText="false" indent="0" shrinkToFit="false"/>
      <protection locked="true" hidden="false"/>
    </xf>
    <xf numFmtId="167" fontId="34" fillId="0" borderId="0" xfId="0" applyFont="true" applyBorder="false" applyAlignment="true" applyProtection="false">
      <alignment horizontal="general" vertical="bottom" textRotation="0" wrapText="false" indent="0" shrinkToFit="false"/>
      <protection locked="true" hidden="false"/>
    </xf>
    <xf numFmtId="167" fontId="54" fillId="6"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28" fillId="0" borderId="1" xfId="0" applyFont="true" applyBorder="true" applyAlignment="true" applyProtection="false">
      <alignment horizontal="left" vertical="center" textRotation="0" wrapText="true" indent="0" shrinkToFit="false"/>
      <protection locked="true" hidden="false"/>
    </xf>
    <xf numFmtId="178" fontId="8" fillId="0" borderId="0" xfId="0" applyFont="true" applyBorder="false" applyAlignment="true" applyProtection="false">
      <alignment horizontal="general" vertical="bottom" textRotation="0" wrapText="false" indent="0" shrinkToFit="false"/>
      <protection locked="true" hidden="false"/>
    </xf>
    <xf numFmtId="178" fontId="16" fillId="9"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86" fontId="14" fillId="0" borderId="0" xfId="0" applyFont="true" applyBorder="false" applyAlignment="true" applyProtection="false">
      <alignment horizontal="general" vertical="bottom" textRotation="0" wrapText="false" indent="0" shrinkToFit="false"/>
      <protection locked="true" hidden="false"/>
    </xf>
    <xf numFmtId="182" fontId="34" fillId="0" borderId="0" xfId="0" applyFont="true" applyBorder="fals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16" fillId="6" borderId="0" xfId="0" applyFont="true" applyBorder="false" applyAlignment="true" applyProtection="false">
      <alignment horizontal="left" vertical="center" textRotation="0" wrapText="false" indent="0" shrinkToFit="false"/>
      <protection locked="true" hidden="false"/>
    </xf>
    <xf numFmtId="182" fontId="16" fillId="6" borderId="0" xfId="0" applyFont="true" applyBorder="false" applyAlignment="true" applyProtection="false">
      <alignment horizontal="general" vertical="bottom" textRotation="0" wrapText="false" indent="0" shrinkToFit="false"/>
      <protection locked="true" hidden="false"/>
    </xf>
    <xf numFmtId="165" fontId="34" fillId="0" borderId="0" xfId="0" applyFont="true" applyBorder="false" applyAlignment="true" applyProtection="false">
      <alignment horizontal="general" vertical="bottom" textRotation="0" wrapText="false" indent="0" shrinkToFit="false"/>
      <protection locked="true" hidden="false"/>
    </xf>
    <xf numFmtId="164" fontId="34" fillId="17" borderId="0" xfId="0" applyFont="true" applyBorder="false" applyAlignment="true" applyProtection="false">
      <alignment horizontal="left" vertical="center" textRotation="0" wrapText="false" indent="0" shrinkToFit="false"/>
      <protection locked="true" hidden="false"/>
    </xf>
    <xf numFmtId="178" fontId="55" fillId="17" borderId="0" xfId="0" applyFont="true" applyBorder="false" applyAlignment="true" applyProtection="false">
      <alignment horizontal="general" vertical="bottom" textRotation="0" wrapText="false" indent="0" shrinkToFit="false"/>
      <protection locked="true" hidden="false"/>
    </xf>
    <xf numFmtId="187" fontId="34" fillId="0" borderId="0" xfId="0" applyFont="true" applyBorder="false" applyAlignment="true" applyProtection="false">
      <alignment horizontal="general" vertical="bottom" textRotation="0" wrapText="false" indent="0" shrinkToFit="false"/>
      <protection locked="true" hidden="false"/>
    </xf>
    <xf numFmtId="164" fontId="16" fillId="17" borderId="0" xfId="0" applyFont="true" applyBorder="false" applyAlignment="true" applyProtection="false">
      <alignment horizontal="left" vertical="center" textRotation="0" wrapText="false" indent="0" shrinkToFit="false"/>
      <protection locked="true" hidden="false"/>
    </xf>
    <xf numFmtId="182" fontId="54" fillId="6"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71" fontId="26" fillId="0" borderId="0" xfId="0" applyFont="true" applyBorder="false" applyAlignment="true" applyProtection="false">
      <alignment horizontal="general" vertical="bottom" textRotation="0" wrapText="false" indent="0" shrinkToFit="false"/>
      <protection locked="true" hidden="false"/>
    </xf>
    <xf numFmtId="164" fontId="54" fillId="9" borderId="0" xfId="0" applyFont="true" applyBorder="false" applyAlignment="true" applyProtection="false">
      <alignment horizontal="general" vertical="bottom" textRotation="0" wrapText="false" indent="0" shrinkToFit="false"/>
      <protection locked="true" hidden="false"/>
    </xf>
    <xf numFmtId="184" fontId="12" fillId="6" borderId="0" xfId="0" applyFont="true" applyBorder="false" applyAlignment="true" applyProtection="false">
      <alignment horizontal="general" vertical="bottom" textRotation="0" wrapText="false" indent="0" shrinkToFit="false"/>
      <protection locked="true" hidden="false"/>
    </xf>
    <xf numFmtId="184" fontId="2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7F7F7F"/>
      <rgbColor rgb="FF800080"/>
      <rgbColor rgb="FF1F4E78"/>
      <rgbColor rgb="FFBBBBBB"/>
      <rgbColor rgb="FF808080"/>
      <rgbColor rgb="FF8FAADC"/>
      <rgbColor rgb="FF7030A0"/>
      <rgbColor rgb="FFFFF2CC"/>
      <rgbColor rgb="FFE8E8F0"/>
      <rgbColor rgb="FF660066"/>
      <rgbColor rgb="FFFF8080"/>
      <rgbColor rgb="FF2F5496"/>
      <rgbColor rgb="FFD9D9E8"/>
      <rgbColor rgb="FF000080"/>
      <rgbColor rgb="FFFF00FF"/>
      <rgbColor rgb="FFFFFF00"/>
      <rgbColor rgb="FF00FFFF"/>
      <rgbColor rgb="FF800080"/>
      <rgbColor rgb="FF800000"/>
      <rgbColor rgb="FF595959"/>
      <rgbColor rgb="FF0000FF"/>
      <rgbColor rgb="FF00CCFF"/>
      <rgbColor rgb="FFD9E1F2"/>
      <rgbColor rgb="FFD6DCE4"/>
      <rgbColor rgb="FFFFFF99"/>
      <rgbColor rgb="FFB3B3B3"/>
      <rgbColor rgb="FFFF99CC"/>
      <rgbColor rgb="FFCC99FF"/>
      <rgbColor rgb="FFD9D9D9"/>
      <rgbColor rgb="FF3366FF"/>
      <rgbColor rgb="FF33CCCC"/>
      <rgbColor rgb="FF99CC00"/>
      <rgbColor rgb="FFFFCC00"/>
      <rgbColor rgb="FFE8A33D"/>
      <rgbColor rgb="FFFF6600"/>
      <rgbColor rgb="FF666666"/>
      <rgbColor rgb="FFA6A6A6"/>
      <rgbColor rgb="FF002060"/>
      <rgbColor rgb="FF4F8A3D"/>
      <rgbColor rgb="FF141414"/>
      <rgbColor rgb="FF1B1B3A"/>
      <rgbColor rgb="FFE50914"/>
      <rgbColor rgb="FFC0504D"/>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Revenue by Scenario ($000s)</a:t>
            </a:r>
          </a:p>
        </c:rich>
      </c:tx>
      <c:overlay val="0"/>
      <c:spPr>
        <a:noFill/>
        <a:ln w="0">
          <a:noFill/>
        </a:ln>
      </c:spPr>
    </c:title>
    <c:autoTitleDeleted val="0"/>
    <c:plotArea>
      <c:lineChart>
        <c:grouping val="standard"/>
        <c:varyColors val="0"/>
        <c:ser>
          <c:idx val="0"/>
          <c:order val="0"/>
          <c:tx>
            <c:strRef>
              <c:f>"Worst"</c:f>
              <c:strCache>
                <c:ptCount val="1"/>
                <c:pt idx="0">
                  <c:v>Worst</c:v>
                </c:pt>
              </c:strCache>
            </c:strRef>
          </c:tx>
          <c:spPr>
            <a:solidFill>
              <a:srgbClr val="c0504d"/>
            </a:solidFill>
            <a:ln w="2196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Data'!$B$6:$I$6</c:f>
              <c:numCache>
                <c:formatCode>\$#,##0;"($"#,##0\);\-</c:formatCode>
                <c:ptCount val="8"/>
                <c:pt idx="0">
                  <c:v>33723297</c:v>
                </c:pt>
                <c:pt idx="1">
                  <c:v>39000966</c:v>
                </c:pt>
                <c:pt idx="2">
                  <c:v>45183036</c:v>
                </c:pt>
                <c:pt idx="3">
                  <c:v>47348802.73</c:v>
                </c:pt>
                <c:pt idx="4">
                  <c:v>49632441.2137</c:v>
                </c:pt>
                <c:pt idx="5">
                  <c:v>52041036.250969</c:v>
                </c:pt>
                <c:pt idx="6">
                  <c:v>54582129.6895359</c:v>
                </c:pt>
                <c:pt idx="7">
                  <c:v>57263751.413822</c:v>
                </c:pt>
              </c:numCache>
            </c:numRef>
          </c:val>
          <c:smooth val="0"/>
        </c:ser>
        <c:ser>
          <c:idx val="1"/>
          <c:order val="1"/>
          <c:tx>
            <c:strRef>
              <c:f>"Neutral"</c:f>
              <c:strCache>
                <c:ptCount val="1"/>
                <c:pt idx="0">
                  <c:v>Neutral</c:v>
                </c:pt>
              </c:strCache>
            </c:strRef>
          </c:tx>
          <c:spPr>
            <a:solidFill>
              <a:srgbClr val="1f4e78"/>
            </a:solidFill>
            <a:ln w="21960">
              <a:solidFill>
                <a:srgbClr val="1f4e78"/>
              </a:solidFill>
              <a:round/>
            </a:ln>
          </c:spPr>
          <c:marker>
            <c:symbol val="circle"/>
            <c:size val="5"/>
            <c:spPr>
              <a:solidFill>
                <a:srgbClr val="1f4e78"/>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Data'!$B$31:$I$31</c:f>
              <c:numCache>
                <c:formatCode>\$#,##0;"($"#,##0\);\-</c:formatCode>
                <c:ptCount val="8"/>
                <c:pt idx="0">
                  <c:v>33723297</c:v>
                </c:pt>
                <c:pt idx="1">
                  <c:v>39000966</c:v>
                </c:pt>
                <c:pt idx="2">
                  <c:v>45183036</c:v>
                </c:pt>
                <c:pt idx="3">
                  <c:v>48558259.46</c:v>
                </c:pt>
                <c:pt idx="4">
                  <c:v>52212326.0918</c:v>
                </c:pt>
                <c:pt idx="5">
                  <c:v>56170305.990062</c:v>
                </c:pt>
                <c:pt idx="6">
                  <c:v>60459675.8783894</c:v>
                </c:pt>
                <c:pt idx="7">
                  <c:v>65110561.8266056</c:v>
                </c:pt>
              </c:numCache>
            </c:numRef>
          </c:val>
          <c:smooth val="0"/>
        </c:ser>
        <c:ser>
          <c:idx val="2"/>
          <c:order val="2"/>
          <c:tx>
            <c:strRef>
              <c:f>"Best"</c:f>
              <c:strCache>
                <c:ptCount val="1"/>
                <c:pt idx="0">
                  <c:v>Best</c:v>
                </c:pt>
              </c:strCache>
            </c:strRef>
          </c:tx>
          <c:spPr>
            <a:solidFill>
              <a:srgbClr val="4f8a3d"/>
            </a:solidFill>
            <a:ln w="21960">
              <a:solidFill>
                <a:srgbClr val="4f8a3d"/>
              </a:solidFill>
              <a:round/>
            </a:ln>
          </c:spPr>
          <c:marker>
            <c:symbol val="circle"/>
            <c:size val="5"/>
            <c:spPr>
              <a:solidFill>
                <a:srgbClr val="4f8a3d"/>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Data'!$B$56:$I$56</c:f>
              <c:numCache>
                <c:formatCode>\$#,##0;"($"#,##0\);\-</c:formatCode>
                <c:ptCount val="8"/>
                <c:pt idx="0">
                  <c:v>33723297</c:v>
                </c:pt>
                <c:pt idx="1">
                  <c:v>39000966</c:v>
                </c:pt>
                <c:pt idx="2">
                  <c:v>45183036</c:v>
                </c:pt>
                <c:pt idx="3">
                  <c:v>49767716.19</c:v>
                </c:pt>
                <c:pt idx="4">
                  <c:v>54861078.4865</c:v>
                </c:pt>
                <c:pt idx="5">
                  <c:v>60524109.186207</c:v>
                </c:pt>
                <c:pt idx="6">
                  <c:v>66825576.5206648</c:v>
                </c:pt>
                <c:pt idx="7">
                  <c:v>73843073.030406</c:v>
                </c:pt>
              </c:numCache>
            </c:numRef>
          </c:val>
          <c:smooth val="0"/>
        </c:ser>
        <c:hiLowLines>
          <c:spPr>
            <a:ln w="0">
              <a:noFill/>
            </a:ln>
          </c:spPr>
        </c:hiLowLines>
        <c:marker val="1"/>
        <c:axId val="36480152"/>
        <c:axId val="23044278"/>
      </c:lineChart>
      <c:catAx>
        <c:axId val="3648015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3044278"/>
        <c:crosses val="autoZero"/>
        <c:auto val="1"/>
        <c:lblAlgn val="ctr"/>
        <c:lblOffset val="100"/>
        <c:noMultiLvlLbl val="0"/>
      </c:catAx>
      <c:valAx>
        <c:axId val="23044278"/>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($000s)</a:t>
                </a:r>
              </a:p>
            </c:rich>
          </c:tx>
          <c:overlay val="0"/>
          <c:spPr>
            <a:noFill/>
            <a:ln w="0">
              <a:noFill/>
            </a:ln>
          </c:spPr>
        </c:title>
        <c:numFmt formatCode="#,##0,,\B"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648015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 of Revenue by Scenario ($000s)</a:t>
            </a:r>
          </a:p>
        </c:rich>
      </c:tx>
      <c:overlay val="0"/>
      <c:spPr>
        <a:noFill/>
        <a:ln w="0">
          <a:noFill/>
        </a:ln>
      </c:spPr>
    </c:title>
    <c:autoTitleDeleted val="0"/>
    <c:plotArea>
      <c:lineChart>
        <c:grouping val="standard"/>
        <c:varyColors val="0"/>
        <c:ser>
          <c:idx val="0"/>
          <c:order val="0"/>
          <c:tx>
            <c:strRef>
              <c:f>"Worst"</c:f>
              <c:strCache>
                <c:ptCount val="1"/>
                <c:pt idx="0">
                  <c:v>Worst</c:v>
                </c:pt>
              </c:strCache>
            </c:strRef>
          </c:tx>
          <c:spPr>
            <a:solidFill>
              <a:srgbClr val="c0504d"/>
            </a:solidFill>
            <a:ln w="2196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Data'!$B$12:$I$12</c:f>
              <c:numCache>
                <c:formatCode>\$#,##0;"($"#,##0\);\-</c:formatCode>
                <c:ptCount val="8"/>
                <c:pt idx="0">
                  <c:v>19715368</c:v>
                </c:pt>
                <c:pt idx="1">
                  <c:v>21038464</c:v>
                </c:pt>
                <c:pt idx="2">
                  <c:v>23275329</c:v>
                </c:pt>
                <c:pt idx="3">
                  <c:v>24485675.7509758</c:v>
                </c:pt>
                <c:pt idx="4">
                  <c:v>25765887.7370329</c:v>
                </c:pt>
                <c:pt idx="5">
                  <c:v>27068312.3493615</c:v>
                </c:pt>
                <c:pt idx="6">
                  <c:v>28499185.7033161</c:v>
                </c:pt>
                <c:pt idx="7">
                  <c:v>30071142.834946</c:v>
                </c:pt>
              </c:numCache>
            </c:numRef>
          </c:val>
          <c:smooth val="0"/>
        </c:ser>
        <c:ser>
          <c:idx val="1"/>
          <c:order val="1"/>
          <c:tx>
            <c:strRef>
              <c:f>"Neutral"</c:f>
              <c:strCache>
                <c:ptCount val="1"/>
                <c:pt idx="0">
                  <c:v>Neutral</c:v>
                </c:pt>
              </c:strCache>
            </c:strRef>
          </c:tx>
          <c:spPr>
            <a:solidFill>
              <a:srgbClr val="1f4e78"/>
            </a:solidFill>
            <a:ln w="21960">
              <a:solidFill>
                <a:srgbClr val="1f4e78"/>
              </a:solidFill>
              <a:round/>
            </a:ln>
          </c:spPr>
          <c:marker>
            <c:symbol val="circle"/>
            <c:size val="5"/>
            <c:spPr>
              <a:solidFill>
                <a:srgbClr val="1f4e78"/>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Data'!$B$37:$I$37</c:f>
              <c:numCache>
                <c:formatCode>\$#,##0;"($"#,##0\);\-</c:formatCode>
                <c:ptCount val="8"/>
                <c:pt idx="0">
                  <c:v>19715368</c:v>
                </c:pt>
                <c:pt idx="1">
                  <c:v>21038464</c:v>
                </c:pt>
                <c:pt idx="2">
                  <c:v>23275329</c:v>
                </c:pt>
                <c:pt idx="3">
                  <c:v>24868335.6502876</c:v>
                </c:pt>
                <c:pt idx="4">
                  <c:v>26583070.4324225</c:v>
                </c:pt>
                <c:pt idx="5">
                  <c:v>28429701.651974</c:v>
                </c:pt>
                <c:pt idx="6">
                  <c:v>30419318.5633976</c:v>
                </c:pt>
                <c:pt idx="7">
                  <c:v>32564005.7285875</c:v>
                </c:pt>
              </c:numCache>
            </c:numRef>
          </c:val>
          <c:smooth val="0"/>
        </c:ser>
        <c:ser>
          <c:idx val="2"/>
          <c:order val="2"/>
          <c:tx>
            <c:strRef>
              <c:f>"Best"</c:f>
              <c:strCache>
                <c:ptCount val="1"/>
                <c:pt idx="0">
                  <c:v>Best</c:v>
                </c:pt>
              </c:strCache>
            </c:strRef>
          </c:tx>
          <c:spPr>
            <a:solidFill>
              <a:srgbClr val="4f8a3d"/>
            </a:solidFill>
            <a:ln w="21960">
              <a:solidFill>
                <a:srgbClr val="4f8a3d"/>
              </a:solidFill>
              <a:round/>
            </a:ln>
          </c:spPr>
          <c:marker>
            <c:symbol val="circle"/>
            <c:size val="5"/>
            <c:spPr>
              <a:solidFill>
                <a:srgbClr val="4f8a3d"/>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Data'!$B$62:$I$62</c:f>
              <c:numCache>
                <c:formatCode>\$#,##0;"($"#,##0\);\-</c:formatCode>
                <c:ptCount val="8"/>
                <c:pt idx="0">
                  <c:v>19715368</c:v>
                </c:pt>
                <c:pt idx="1">
                  <c:v>21038464</c:v>
                </c:pt>
                <c:pt idx="2">
                  <c:v>23275329</c:v>
                </c:pt>
                <c:pt idx="3">
                  <c:v>25288668.6984895</c:v>
                </c:pt>
                <c:pt idx="4">
                  <c:v>27492751.7062537</c:v>
                </c:pt>
                <c:pt idx="5">
                  <c:v>29907020.1686172</c:v>
                </c:pt>
                <c:pt idx="6">
                  <c:v>32619835.9693382</c:v>
                </c:pt>
                <c:pt idx="7">
                  <c:v>35676099.2454722</c:v>
                </c:pt>
              </c:numCache>
            </c:numRef>
          </c:val>
          <c:smooth val="0"/>
        </c:ser>
        <c:hiLowLines>
          <c:spPr>
            <a:ln w="0">
              <a:noFill/>
            </a:ln>
          </c:spPr>
        </c:hiLowLines>
        <c:marker val="1"/>
        <c:axId val="28749373"/>
        <c:axId val="93299941"/>
      </c:lineChart>
      <c:catAx>
        <c:axId val="2874937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3299941"/>
        <c:crosses val="autoZero"/>
        <c:auto val="1"/>
        <c:lblAlgn val="ctr"/>
        <c:lblOffset val="100"/>
        <c:noMultiLvlLbl val="0"/>
      </c:catAx>
      <c:valAx>
        <c:axId val="93299941"/>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Cost of Revenue ($000s)</a:t>
                </a:r>
              </a:p>
            </c:rich>
          </c:tx>
          <c:overlay val="0"/>
          <c:spPr>
            <a:noFill/>
            <a:ln w="0">
              <a:noFill/>
            </a:ln>
          </c:spPr>
        </c:title>
        <c:numFmt formatCode="#,##0,,\B"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874937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Operating Expenses by Scenario ($000s)
(S&amp;M + Technology &amp; Dev + G&amp;A)</a:t>
            </a:r>
          </a:p>
        </c:rich>
      </c:tx>
      <c:overlay val="0"/>
      <c:spPr>
        <a:noFill/>
        <a:ln w="0">
          <a:noFill/>
        </a:ln>
      </c:spPr>
    </c:title>
    <c:autoTitleDeleted val="0"/>
    <c:plotArea>
      <c:lineChart>
        <c:grouping val="standard"/>
        <c:varyColors val="0"/>
        <c:ser>
          <c:idx val="0"/>
          <c:order val="0"/>
          <c:tx>
            <c:strRef>
              <c:f>"Worst"</c:f>
              <c:strCache>
                <c:ptCount val="1"/>
                <c:pt idx="0">
                  <c:v>Worst</c:v>
                </c:pt>
              </c:strCache>
            </c:strRef>
          </c:tx>
          <c:spPr>
            <a:solidFill>
              <a:srgbClr val="c0504d"/>
            </a:solidFill>
            <a:ln w="2196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Data'!$B$17:$I$17</c:f>
              <c:numCache>
                <c:formatCode>\$#,##0;"($"#,##0\);\-</c:formatCode>
                <c:ptCount val="8"/>
                <c:pt idx="0">
                  <c:v>7053926</c:v>
                </c:pt>
                <c:pt idx="1">
                  <c:v>7544888</c:v>
                </c:pt>
                <c:pt idx="2">
                  <c:v>8581104</c:v>
                </c:pt>
                <c:pt idx="3">
                  <c:v>9323878.88478887</c:v>
                </c:pt>
                <c:pt idx="4">
                  <c:v>9972100.45621539</c:v>
                </c:pt>
                <c:pt idx="5">
                  <c:v>10768279.1800143</c:v>
                </c:pt>
                <c:pt idx="6">
                  <c:v>11512408.2119872</c:v>
                </c:pt>
                <c:pt idx="7">
                  <c:v>12364331.941521</c:v>
                </c:pt>
              </c:numCache>
            </c:numRef>
          </c:val>
          <c:smooth val="0"/>
        </c:ser>
        <c:ser>
          <c:idx val="1"/>
          <c:order val="1"/>
          <c:tx>
            <c:strRef>
              <c:f>"Neutral"</c:f>
              <c:strCache>
                <c:ptCount val="1"/>
                <c:pt idx="0">
                  <c:v>Neutral</c:v>
                </c:pt>
              </c:strCache>
            </c:strRef>
          </c:tx>
          <c:spPr>
            <a:solidFill>
              <a:srgbClr val="1f4e78"/>
            </a:solidFill>
            <a:ln w="21960">
              <a:solidFill>
                <a:srgbClr val="1f4e78"/>
              </a:solidFill>
              <a:round/>
            </a:ln>
          </c:spPr>
          <c:marker>
            <c:symbol val="circle"/>
            <c:size val="5"/>
            <c:spPr>
              <a:solidFill>
                <a:srgbClr val="1f4e78"/>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Data'!$B$42:$I$42</c:f>
              <c:numCache>
                <c:formatCode>\$#,##0;"($"#,##0\);\-</c:formatCode>
                <c:ptCount val="8"/>
                <c:pt idx="0">
                  <c:v>7053926</c:v>
                </c:pt>
                <c:pt idx="1">
                  <c:v>7544888</c:v>
                </c:pt>
                <c:pt idx="2">
                  <c:v>8581104</c:v>
                </c:pt>
                <c:pt idx="3">
                  <c:v>9125019.55946374</c:v>
                </c:pt>
                <c:pt idx="4">
                  <c:v>9655051.12856957</c:v>
                </c:pt>
                <c:pt idx="5">
                  <c:v>10218445.8954061</c:v>
                </c:pt>
                <c:pt idx="6">
                  <c:v>10817384.7484855</c:v>
                </c:pt>
                <c:pt idx="7">
                  <c:v>11454184.9259746</c:v>
                </c:pt>
              </c:numCache>
            </c:numRef>
          </c:val>
          <c:smooth val="0"/>
        </c:ser>
        <c:ser>
          <c:idx val="2"/>
          <c:order val="2"/>
          <c:tx>
            <c:strRef>
              <c:f>"Best"</c:f>
              <c:strCache>
                <c:ptCount val="1"/>
                <c:pt idx="0">
                  <c:v>Best</c:v>
                </c:pt>
              </c:strCache>
            </c:strRef>
          </c:tx>
          <c:spPr>
            <a:solidFill>
              <a:srgbClr val="4f8a3d"/>
            </a:solidFill>
            <a:ln w="21960">
              <a:solidFill>
                <a:srgbClr val="4f8a3d"/>
              </a:solidFill>
              <a:round/>
            </a:ln>
          </c:spPr>
          <c:marker>
            <c:symbol val="circle"/>
            <c:size val="5"/>
            <c:spPr>
              <a:solidFill>
                <a:srgbClr val="4f8a3d"/>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Data'!$B$67:$I$67</c:f>
              <c:numCache>
                <c:formatCode>\$#,##0;"($"#,##0\);\-</c:formatCode>
                <c:ptCount val="8"/>
                <c:pt idx="0">
                  <c:v>7053926</c:v>
                </c:pt>
                <c:pt idx="1">
                  <c:v>7544888</c:v>
                </c:pt>
                <c:pt idx="2">
                  <c:v>8581104</c:v>
                </c:pt>
                <c:pt idx="3">
                  <c:v>9053693.16156861</c:v>
                </c:pt>
                <c:pt idx="4">
                  <c:v>9596244.98778009</c:v>
                </c:pt>
                <c:pt idx="5">
                  <c:v>10223671.9996249</c:v>
                </c:pt>
                <c:pt idx="6">
                  <c:v>10953981.6776909</c:v>
                </c:pt>
                <c:pt idx="7">
                  <c:v>11735067.3229191</c:v>
                </c:pt>
              </c:numCache>
            </c:numRef>
          </c:val>
          <c:smooth val="0"/>
        </c:ser>
        <c:hiLowLines>
          <c:spPr>
            <a:ln w="0">
              <a:noFill/>
            </a:ln>
          </c:spPr>
        </c:hiLowLines>
        <c:marker val="1"/>
        <c:axId val="79249796"/>
        <c:axId val="47075580"/>
      </c:lineChart>
      <c:catAx>
        <c:axId val="7924979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7075580"/>
        <c:crosses val="autoZero"/>
        <c:auto val="1"/>
        <c:lblAlgn val="ctr"/>
        <c:lblOffset val="100"/>
        <c:noMultiLvlLbl val="0"/>
      </c:catAx>
      <c:valAx>
        <c:axId val="4707558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Opex ($000s)</a:t>
                </a:r>
              </a:p>
            </c:rich>
          </c:tx>
          <c:overlay val="0"/>
          <c:spPr>
            <a:noFill/>
            <a:ln w="0">
              <a:noFill/>
            </a:ln>
          </c:spPr>
        </c:title>
        <c:numFmt formatCode="#,##0,,\B"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924979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Operating Income by Scenario ($000s)</a:t>
            </a:r>
          </a:p>
        </c:rich>
      </c:tx>
      <c:overlay val="0"/>
      <c:spPr>
        <a:noFill/>
        <a:ln w="0">
          <a:noFill/>
        </a:ln>
      </c:spPr>
    </c:title>
    <c:autoTitleDeleted val="0"/>
    <c:plotArea>
      <c:lineChart>
        <c:grouping val="standard"/>
        <c:varyColors val="0"/>
        <c:ser>
          <c:idx val="0"/>
          <c:order val="0"/>
          <c:tx>
            <c:strRef>
              <c:f>"Worst"</c:f>
              <c:strCache>
                <c:ptCount val="1"/>
                <c:pt idx="0">
                  <c:v>Worst</c:v>
                </c:pt>
              </c:strCache>
            </c:strRef>
          </c:tx>
          <c:spPr>
            <a:solidFill>
              <a:srgbClr val="c0504d"/>
            </a:solidFill>
            <a:ln w="2196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Data'!$B$18:$I$18</c:f>
              <c:numCache>
                <c:formatCode>\$#,##0;"($"#,##0\);\-</c:formatCode>
                <c:ptCount val="8"/>
                <c:pt idx="0">
                  <c:v>6954003</c:v>
                </c:pt>
                <c:pt idx="1">
                  <c:v>10417614</c:v>
                </c:pt>
                <c:pt idx="2">
                  <c:v>13326603</c:v>
                </c:pt>
                <c:pt idx="3">
                  <c:v>13539248.0942353</c:v>
                </c:pt>
                <c:pt idx="4">
                  <c:v>13894453.0204517</c:v>
                </c:pt>
                <c:pt idx="5">
                  <c:v>14204444.7215932</c:v>
                </c:pt>
                <c:pt idx="6">
                  <c:v>14570535.7742325</c:v>
                </c:pt>
                <c:pt idx="7">
                  <c:v>14828276.637355</c:v>
                </c:pt>
              </c:numCache>
            </c:numRef>
          </c:val>
          <c:smooth val="0"/>
        </c:ser>
        <c:ser>
          <c:idx val="1"/>
          <c:order val="1"/>
          <c:tx>
            <c:strRef>
              <c:f>"Neutral"</c:f>
              <c:strCache>
                <c:ptCount val="1"/>
                <c:pt idx="0">
                  <c:v>Neutral</c:v>
                </c:pt>
              </c:strCache>
            </c:strRef>
          </c:tx>
          <c:spPr>
            <a:solidFill>
              <a:srgbClr val="1f4e78"/>
            </a:solidFill>
            <a:ln w="21960">
              <a:solidFill>
                <a:srgbClr val="1f4e78"/>
              </a:solidFill>
              <a:round/>
            </a:ln>
          </c:spPr>
          <c:marker>
            <c:symbol val="circle"/>
            <c:size val="5"/>
            <c:spPr>
              <a:solidFill>
                <a:srgbClr val="1f4e78"/>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Data'!$B$43:$I$43</c:f>
              <c:numCache>
                <c:formatCode>\$#,##0;"($"#,##0\);\-</c:formatCode>
                <c:ptCount val="8"/>
                <c:pt idx="0">
                  <c:v>6954003</c:v>
                </c:pt>
                <c:pt idx="1">
                  <c:v>10417614</c:v>
                </c:pt>
                <c:pt idx="2">
                  <c:v>13326603</c:v>
                </c:pt>
                <c:pt idx="3">
                  <c:v>14564904.2502486</c:v>
                </c:pt>
                <c:pt idx="4">
                  <c:v>15974204.5308079</c:v>
                </c:pt>
                <c:pt idx="5">
                  <c:v>17522158.4426819</c:v>
                </c:pt>
                <c:pt idx="6">
                  <c:v>19222972.5665063</c:v>
                </c:pt>
                <c:pt idx="7">
                  <c:v>21092371.1720434</c:v>
                </c:pt>
              </c:numCache>
            </c:numRef>
          </c:val>
          <c:smooth val="0"/>
        </c:ser>
        <c:ser>
          <c:idx val="2"/>
          <c:order val="2"/>
          <c:tx>
            <c:strRef>
              <c:f>"Best"</c:f>
              <c:strCache>
                <c:ptCount val="1"/>
                <c:pt idx="0">
                  <c:v>Best</c:v>
                </c:pt>
              </c:strCache>
            </c:strRef>
          </c:tx>
          <c:spPr>
            <a:solidFill>
              <a:srgbClr val="4f8a3d"/>
            </a:solidFill>
            <a:ln w="21960">
              <a:solidFill>
                <a:srgbClr val="4f8a3d"/>
              </a:solidFill>
              <a:round/>
            </a:ln>
          </c:spPr>
          <c:marker>
            <c:symbol val="circle"/>
            <c:size val="5"/>
            <c:spPr>
              <a:solidFill>
                <a:srgbClr val="4f8a3d"/>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Data'!$B$68:$I$68</c:f>
              <c:numCache>
                <c:formatCode>\$#,##0;"($"#,##0\);\-</c:formatCode>
                <c:ptCount val="8"/>
                <c:pt idx="0">
                  <c:v>6954003</c:v>
                </c:pt>
                <c:pt idx="1">
                  <c:v>10417614</c:v>
                </c:pt>
                <c:pt idx="2">
                  <c:v>13326603</c:v>
                </c:pt>
                <c:pt idx="3">
                  <c:v>15425354.3299419</c:v>
                </c:pt>
                <c:pt idx="4">
                  <c:v>17772081.7924662</c:v>
                </c:pt>
                <c:pt idx="5">
                  <c:v>20393417.0179649</c:v>
                </c:pt>
                <c:pt idx="6">
                  <c:v>23251758.8736358</c:v>
                </c:pt>
                <c:pt idx="7">
                  <c:v>26431906.4620147</c:v>
                </c:pt>
              </c:numCache>
            </c:numRef>
          </c:val>
          <c:smooth val="0"/>
        </c:ser>
        <c:hiLowLines>
          <c:spPr>
            <a:ln w="0">
              <a:noFill/>
            </a:ln>
          </c:spPr>
        </c:hiLowLines>
        <c:marker val="1"/>
        <c:axId val="89119625"/>
        <c:axId val="38236943"/>
      </c:lineChart>
      <c:catAx>
        <c:axId val="8911962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8236943"/>
        <c:crosses val="autoZero"/>
        <c:auto val="1"/>
        <c:lblAlgn val="ctr"/>
        <c:lblOffset val="100"/>
        <c:noMultiLvlLbl val="0"/>
      </c:catAx>
      <c:valAx>
        <c:axId val="38236943"/>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Operating Income ($000s)</a:t>
                </a:r>
              </a:p>
            </c:rich>
          </c:tx>
          <c:overlay val="0"/>
          <c:spPr>
            <a:noFill/>
            <a:ln w="0">
              <a:noFill/>
            </a:ln>
          </c:spPr>
        </c:title>
        <c:numFmt formatCode="#,##0,,\B"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911962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Profit by Scenario ($000s)</a:t>
            </a:r>
          </a:p>
        </c:rich>
      </c:tx>
      <c:overlay val="0"/>
      <c:spPr>
        <a:noFill/>
        <a:ln w="0">
          <a:noFill/>
        </a:ln>
      </c:spPr>
    </c:title>
    <c:autoTitleDeleted val="0"/>
    <c:plotArea>
      <c:lineChart>
        <c:grouping val="standard"/>
        <c:varyColors val="0"/>
        <c:ser>
          <c:idx val="0"/>
          <c:order val="0"/>
          <c:tx>
            <c:strRef>
              <c:f>"Worst"</c:f>
              <c:strCache>
                <c:ptCount val="1"/>
                <c:pt idx="0">
                  <c:v>Worst</c:v>
                </c:pt>
              </c:strCache>
            </c:strRef>
          </c:tx>
          <c:spPr>
            <a:solidFill>
              <a:srgbClr val="c0504d"/>
            </a:solidFill>
            <a:ln w="2196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Data'!$B$24:$I$24</c:f>
              <c:numCache>
                <c:formatCode>\$#,##0;"($"#,##0\);\-</c:formatCode>
                <c:ptCount val="8"/>
                <c:pt idx="0">
                  <c:v>5407990</c:v>
                </c:pt>
                <c:pt idx="1">
                  <c:v>8711631</c:v>
                </c:pt>
                <c:pt idx="2">
                  <c:v>10981201</c:v>
                </c:pt>
                <c:pt idx="3">
                  <c:v>10919724.5374479</c:v>
                </c:pt>
                <c:pt idx="4">
                  <c:v>11229177.7735369</c:v>
                </c:pt>
                <c:pt idx="5">
                  <c:v>11546273.3666196</c:v>
                </c:pt>
                <c:pt idx="6">
                  <c:v>11963190.3248874</c:v>
                </c:pt>
                <c:pt idx="7">
                  <c:v>12260093.4575851</c:v>
                </c:pt>
              </c:numCache>
            </c:numRef>
          </c:val>
          <c:smooth val="0"/>
        </c:ser>
        <c:ser>
          <c:idx val="1"/>
          <c:order val="1"/>
          <c:tx>
            <c:strRef>
              <c:f>"Neutral"</c:f>
              <c:strCache>
                <c:ptCount val="1"/>
                <c:pt idx="0">
                  <c:v>Neutral</c:v>
                </c:pt>
              </c:strCache>
            </c:strRef>
          </c:tx>
          <c:spPr>
            <a:solidFill>
              <a:srgbClr val="1f4e78"/>
            </a:solidFill>
            <a:ln w="21960">
              <a:solidFill>
                <a:srgbClr val="1f4e78"/>
              </a:solidFill>
              <a:round/>
            </a:ln>
          </c:spPr>
          <c:marker>
            <c:symbol val="circle"/>
            <c:size val="5"/>
            <c:spPr>
              <a:solidFill>
                <a:srgbClr val="1f4e78"/>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Data'!$B$49:$I$49</c:f>
              <c:numCache>
                <c:formatCode>\$#,##0;"($"#,##0\);\-</c:formatCode>
                <c:ptCount val="8"/>
                <c:pt idx="0">
                  <c:v>5407990</c:v>
                </c:pt>
                <c:pt idx="1">
                  <c:v>8711631</c:v>
                </c:pt>
                <c:pt idx="2">
                  <c:v>10981201</c:v>
                </c:pt>
                <c:pt idx="3">
                  <c:v>12040885.4057379</c:v>
                </c:pt>
                <c:pt idx="4">
                  <c:v>13330761.8523219</c:v>
                </c:pt>
                <c:pt idx="5">
                  <c:v>14791670.444549</c:v>
                </c:pt>
                <c:pt idx="6">
                  <c:v>16421998.4954816</c:v>
                </c:pt>
                <c:pt idx="7">
                  <c:v>18194599.6225289</c:v>
                </c:pt>
              </c:numCache>
            </c:numRef>
          </c:val>
          <c:smooth val="0"/>
        </c:ser>
        <c:ser>
          <c:idx val="2"/>
          <c:order val="2"/>
          <c:tx>
            <c:strRef>
              <c:f>"Best"</c:f>
              <c:strCache>
                <c:ptCount val="1"/>
                <c:pt idx="0">
                  <c:v>Best</c:v>
                </c:pt>
              </c:strCache>
            </c:strRef>
          </c:tx>
          <c:spPr>
            <a:solidFill>
              <a:srgbClr val="4f8a3d"/>
            </a:solidFill>
            <a:ln w="21960">
              <a:solidFill>
                <a:srgbClr val="4f8a3d"/>
              </a:solidFill>
              <a:round/>
            </a:ln>
          </c:spPr>
          <c:marker>
            <c:symbol val="circle"/>
            <c:size val="5"/>
            <c:spPr>
              <a:solidFill>
                <a:srgbClr val="4f8a3d"/>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Data'!$B$74:$I$74</c:f>
              <c:numCache>
                <c:formatCode>\$#,##0;"($"#,##0\);\-</c:formatCode>
                <c:ptCount val="8"/>
                <c:pt idx="0">
                  <c:v>5407990</c:v>
                </c:pt>
                <c:pt idx="1">
                  <c:v>8711631</c:v>
                </c:pt>
                <c:pt idx="2">
                  <c:v>10981201</c:v>
                </c:pt>
                <c:pt idx="3">
                  <c:v>12944431.3392552</c:v>
                </c:pt>
                <c:pt idx="4">
                  <c:v>15090272.7424919</c:v>
                </c:pt>
                <c:pt idx="5">
                  <c:v>17557335.1236181</c:v>
                </c:pt>
                <c:pt idx="6">
                  <c:v>20285410.8283284</c:v>
                </c:pt>
                <c:pt idx="7">
                  <c:v>23309363.7568528</c:v>
                </c:pt>
              </c:numCache>
            </c:numRef>
          </c:val>
          <c:smooth val="0"/>
        </c:ser>
        <c:hiLowLines>
          <c:spPr>
            <a:ln w="0">
              <a:noFill/>
            </a:ln>
          </c:spPr>
        </c:hiLowLines>
        <c:marker val="1"/>
        <c:axId val="73373102"/>
        <c:axId val="2905555"/>
      </c:lineChart>
      <c:catAx>
        <c:axId val="7337310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905555"/>
        <c:crosses val="autoZero"/>
        <c:auto val="1"/>
        <c:lblAlgn val="ctr"/>
        <c:lblOffset val="100"/>
        <c:noMultiLvlLbl val="0"/>
      </c:catAx>
      <c:valAx>
        <c:axId val="290555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Net Income ($000s)</a:t>
                </a:r>
              </a:p>
            </c:rich>
          </c:tx>
          <c:overlay val="0"/>
          <c:spPr>
            <a:noFill/>
            <a:ln w="0">
              <a:noFill/>
            </a:ln>
          </c:spPr>
        </c:title>
        <c:numFmt formatCode="#,##0,,\B"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337310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Operating Margin % by Scenario</a:t>
            </a:r>
          </a:p>
        </c:rich>
      </c:tx>
      <c:overlay val="0"/>
      <c:spPr>
        <a:noFill/>
        <a:ln w="0">
          <a:noFill/>
        </a:ln>
      </c:spPr>
    </c:title>
    <c:autoTitleDeleted val="0"/>
    <c:plotArea>
      <c:lineChart>
        <c:grouping val="standard"/>
        <c:varyColors val="0"/>
        <c:ser>
          <c:idx val="0"/>
          <c:order val="0"/>
          <c:tx>
            <c:strRef>
              <c:f>"Worst"</c:f>
              <c:strCache>
                <c:ptCount val="1"/>
                <c:pt idx="0">
                  <c:v>Worst</c:v>
                </c:pt>
              </c:strCache>
            </c:strRef>
          </c:tx>
          <c:spPr>
            <a:solidFill>
              <a:srgbClr val="c0504d"/>
            </a:solidFill>
            <a:ln w="2196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Data'!$B$19:$I$19</c:f>
              <c:numCache>
                <c:formatCode>0.0%</c:formatCode>
                <c:ptCount val="8"/>
                <c:pt idx="0">
                  <c:v>0.20620768485359</c:v>
                </c:pt>
                <c:pt idx="1">
                  <c:v>0.267111691541179</c:v>
                </c:pt>
                <c:pt idx="2">
                  <c:v>0.294947046055073</c:v>
                </c:pt>
                <c:pt idx="3">
                  <c:v>0.285947</c:v>
                </c:pt>
                <c:pt idx="4">
                  <c:v>0.279947</c:v>
                </c:pt>
                <c:pt idx="5">
                  <c:v>0.272947</c:v>
                </c:pt>
                <c:pt idx="6">
                  <c:v>0.266947</c:v>
                </c:pt>
                <c:pt idx="7">
                  <c:v>0.258947</c:v>
                </c:pt>
              </c:numCache>
            </c:numRef>
          </c:val>
          <c:smooth val="0"/>
        </c:ser>
        <c:ser>
          <c:idx val="1"/>
          <c:order val="1"/>
          <c:tx>
            <c:strRef>
              <c:f>"Neutral"</c:f>
              <c:strCache>
                <c:ptCount val="1"/>
                <c:pt idx="0">
                  <c:v>Neutral</c:v>
                </c:pt>
              </c:strCache>
            </c:strRef>
          </c:tx>
          <c:spPr>
            <a:solidFill>
              <a:srgbClr val="1f4e78"/>
            </a:solidFill>
            <a:ln w="21960">
              <a:solidFill>
                <a:srgbClr val="1f4e78"/>
              </a:solidFill>
              <a:round/>
            </a:ln>
          </c:spPr>
          <c:marker>
            <c:symbol val="circle"/>
            <c:size val="5"/>
            <c:spPr>
              <a:solidFill>
                <a:srgbClr val="1f4e78"/>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Data'!$B$44:$I$44</c:f>
              <c:numCache>
                <c:formatCode>0.0%</c:formatCode>
                <c:ptCount val="8"/>
                <c:pt idx="0">
                  <c:v>0.20620768485359</c:v>
                </c:pt>
                <c:pt idx="1">
                  <c:v>0.267111691541179</c:v>
                </c:pt>
                <c:pt idx="2">
                  <c:v>0.294947046055073</c:v>
                </c:pt>
                <c:pt idx="3">
                  <c:v>0.299947</c:v>
                </c:pt>
                <c:pt idx="4">
                  <c:v>0.305947</c:v>
                </c:pt>
                <c:pt idx="5">
                  <c:v>0.311947</c:v>
                </c:pt>
                <c:pt idx="6">
                  <c:v>0.317947</c:v>
                </c:pt>
                <c:pt idx="7">
                  <c:v>0.323947</c:v>
                </c:pt>
              </c:numCache>
            </c:numRef>
          </c:val>
          <c:smooth val="0"/>
        </c:ser>
        <c:ser>
          <c:idx val="2"/>
          <c:order val="2"/>
          <c:tx>
            <c:strRef>
              <c:f>"Best"</c:f>
              <c:strCache>
                <c:ptCount val="1"/>
                <c:pt idx="0">
                  <c:v>Best</c:v>
                </c:pt>
              </c:strCache>
            </c:strRef>
          </c:tx>
          <c:spPr>
            <a:solidFill>
              <a:srgbClr val="4f8a3d"/>
            </a:solidFill>
            <a:ln w="21960">
              <a:solidFill>
                <a:srgbClr val="4f8a3d"/>
              </a:solidFill>
              <a:round/>
            </a:ln>
          </c:spPr>
          <c:marker>
            <c:symbol val="circle"/>
            <c:size val="5"/>
            <c:spPr>
              <a:solidFill>
                <a:srgbClr val="4f8a3d"/>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Data'!$B$5:$I$5</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Data'!$B$69:$I$69</c:f>
              <c:numCache>
                <c:formatCode>0.0%</c:formatCode>
                <c:ptCount val="8"/>
                <c:pt idx="0">
                  <c:v>0.20620768485359</c:v>
                </c:pt>
                <c:pt idx="1">
                  <c:v>0.267111691541179</c:v>
                </c:pt>
                <c:pt idx="2">
                  <c:v>0.294947046055073</c:v>
                </c:pt>
                <c:pt idx="3">
                  <c:v>0.309947</c:v>
                </c:pt>
                <c:pt idx="4">
                  <c:v>0.323947</c:v>
                </c:pt>
                <c:pt idx="5">
                  <c:v>0.336947</c:v>
                </c:pt>
                <c:pt idx="6">
                  <c:v>0.347947</c:v>
                </c:pt>
                <c:pt idx="7">
                  <c:v>0.357947</c:v>
                </c:pt>
              </c:numCache>
            </c:numRef>
          </c:val>
          <c:smooth val="0"/>
        </c:ser>
        <c:hiLowLines>
          <c:spPr>
            <a:ln w="0">
              <a:noFill/>
            </a:ln>
          </c:spPr>
        </c:hiLowLines>
        <c:marker val="1"/>
        <c:axId val="52119137"/>
        <c:axId val="55391090"/>
      </c:lineChart>
      <c:catAx>
        <c:axId val="5211913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5391090"/>
        <c:crosses val="autoZero"/>
        <c:auto val="1"/>
        <c:lblAlgn val="ctr"/>
        <c:lblOffset val="100"/>
        <c:noMultiLvlLbl val="0"/>
      </c:catAx>
      <c:valAx>
        <c:axId val="5539109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Operating Margin %</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211913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Mix by Region — Neutral Case ($000s)</a:t>
            </a:r>
          </a:p>
        </c:rich>
      </c:tx>
      <c:overlay val="0"/>
      <c:spPr>
        <a:noFill/>
        <a:ln w="0">
          <a:noFill/>
        </a:ln>
      </c:spPr>
    </c:title>
    <c:autoTitleDeleted val="0"/>
    <c:plotArea>
      <c:barChart>
        <c:barDir val="col"/>
        <c:grouping val="stacked"/>
        <c:varyColors val="0"/>
        <c:ser>
          <c:idx val="0"/>
          <c:order val="0"/>
          <c:tx>
            <c:strRef>
              <c:f>"UCAN"</c:f>
              <c:strCache>
                <c:ptCount val="1"/>
                <c:pt idx="0">
                  <c:v>UCAN</c:v>
                </c:pt>
              </c:strCache>
            </c:strRef>
          </c:tx>
          <c:spPr>
            <a:solidFill>
              <a:srgbClr val="1f4e78"/>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Data'!$B$30:$I$30</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Data'!$B$32:$I$32</c:f>
              <c:numCache>
                <c:formatCode>\$#,##0;"($"#,##0\);\-</c:formatCode>
                <c:ptCount val="8"/>
                <c:pt idx="2">
                  <c:v>19957152</c:v>
                </c:pt>
                <c:pt idx="3">
                  <c:v>20955009.6</c:v>
                </c:pt>
                <c:pt idx="4">
                  <c:v>22002760.08</c:v>
                </c:pt>
                <c:pt idx="5">
                  <c:v>23102898.084</c:v>
                </c:pt>
                <c:pt idx="6">
                  <c:v>24258042.9882</c:v>
                </c:pt>
                <c:pt idx="7">
                  <c:v>25470945.13761</c:v>
                </c:pt>
              </c:numCache>
            </c:numRef>
          </c:val>
        </c:ser>
        <c:ser>
          <c:idx val="1"/>
          <c:order val="1"/>
          <c:tx>
            <c:strRef>
              <c:f>"EMEA"</c:f>
              <c:strCache>
                <c:ptCount val="1"/>
                <c:pt idx="0">
                  <c:v>EMEA</c:v>
                </c:pt>
              </c:strCache>
            </c:strRef>
          </c:tx>
          <c:spPr>
            <a:solidFill>
              <a:srgbClr val="4f8a3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Data'!$B$30:$I$30</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Data'!$B$33:$I$33</c:f>
              <c:numCache>
                <c:formatCode>\$#,##0;"($"#,##0\);\-</c:formatCode>
                <c:ptCount val="8"/>
                <c:pt idx="2">
                  <c:v>14514646</c:v>
                </c:pt>
                <c:pt idx="3">
                  <c:v>15820964.14</c:v>
                </c:pt>
                <c:pt idx="4">
                  <c:v>17244850.9126</c:v>
                </c:pt>
                <c:pt idx="5">
                  <c:v>18796887.494734</c:v>
                </c:pt>
                <c:pt idx="6">
                  <c:v>20488607.3692601</c:v>
                </c:pt>
                <c:pt idx="7">
                  <c:v>22332582.0324935</c:v>
                </c:pt>
              </c:numCache>
            </c:numRef>
          </c:val>
        </c:ser>
        <c:ser>
          <c:idx val="2"/>
          <c:order val="2"/>
          <c:tx>
            <c:strRef>
              <c:f>"LATAM"</c:f>
              <c:strCache>
                <c:ptCount val="1"/>
                <c:pt idx="0">
                  <c:v>LATAM</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Data'!$B$30:$I$30</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Data'!$B$34:$I$34</c:f>
              <c:numCache>
                <c:formatCode>\$#,##0;"($"#,##0\);\-</c:formatCode>
                <c:ptCount val="8"/>
                <c:pt idx="2">
                  <c:v>5357521</c:v>
                </c:pt>
                <c:pt idx="3">
                  <c:v>5786122.68</c:v>
                </c:pt>
                <c:pt idx="4">
                  <c:v>6249012.4944</c:v>
                </c:pt>
                <c:pt idx="5">
                  <c:v>6748933.493952</c:v>
                </c:pt>
                <c:pt idx="6">
                  <c:v>7288848.17346816</c:v>
                </c:pt>
                <c:pt idx="7">
                  <c:v>7871956.02734562</c:v>
                </c:pt>
              </c:numCache>
            </c:numRef>
          </c:val>
        </c:ser>
        <c:ser>
          <c:idx val="3"/>
          <c:order val="3"/>
          <c:tx>
            <c:strRef>
              <c:f>"APAC"</c:f>
              <c:strCache>
                <c:ptCount val="1"/>
                <c:pt idx="0">
                  <c:v>APAC</c:v>
                </c:pt>
              </c:strCache>
            </c:strRef>
          </c:tx>
          <c:spPr>
            <a:solidFill>
              <a:srgbClr val="e8a33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'Chart Data'!$B$30:$I$30</c:f>
              <c:multiLvlStrCache>
                <c:ptCount val="1"/>
                <c:lvl>
                  <c:pt idx="0">
                    <c:v>2030E</c:v>
                  </c:pt>
                </c:lvl>
                <c:lvl>
                  <c:pt idx="0">
                    <c:v>2029E</c:v>
                  </c:pt>
                </c:lvl>
                <c:lvl>
                  <c:pt idx="0">
                    <c:v>2028E</c:v>
                  </c:pt>
                </c:lvl>
                <c:lvl>
                  <c:pt idx="0">
                    <c:v>2027E</c:v>
                  </c:pt>
                </c:lvl>
                <c:lvl>
                  <c:pt idx="0">
                    <c:v>2026E</c:v>
                  </c:pt>
                </c:lvl>
                <c:lvl>
                  <c:pt idx="0">
                    <c:v>2025A</c:v>
                  </c:pt>
                </c:lvl>
                <c:lvl>
                  <c:pt idx="0">
                    <c:v>2024A</c:v>
                  </c:pt>
                </c:lvl>
                <c:lvl>
                  <c:pt idx="0">
                    <c:v>2023A</c:v>
                  </c:pt>
                </c:lvl>
              </c:multiLvlStrCache>
            </c:multiLvlStrRef>
          </c:cat>
          <c:val>
            <c:numRef>
              <c:f>'Chart Data'!$B$35:$I$35</c:f>
              <c:numCache>
                <c:formatCode>\$#,##0;"($"#,##0\);\-</c:formatCode>
                <c:ptCount val="8"/>
                <c:pt idx="2">
                  <c:v>5353717</c:v>
                </c:pt>
                <c:pt idx="3">
                  <c:v>5996163.04</c:v>
                </c:pt>
                <c:pt idx="4">
                  <c:v>6715702.6048</c:v>
                </c:pt>
                <c:pt idx="5">
                  <c:v>7521586.917376</c:v>
                </c:pt>
                <c:pt idx="6">
                  <c:v>8424177.34746112</c:v>
                </c:pt>
                <c:pt idx="7">
                  <c:v>9435078.62915646</c:v>
                </c:pt>
              </c:numCache>
            </c:numRef>
          </c:val>
        </c:ser>
        <c:gapWidth val="150"/>
        <c:overlap val="100"/>
        <c:axId val="47585439"/>
        <c:axId val="73674713"/>
      </c:barChart>
      <c:catAx>
        <c:axId val="4758543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3674713"/>
        <c:crosses val="autoZero"/>
        <c:auto val="1"/>
        <c:lblAlgn val="ctr"/>
        <c:lblOffset val="100"/>
        <c:noMultiLvlLbl val="0"/>
      </c:catAx>
      <c:valAx>
        <c:axId val="73674713"/>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($000s)</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75854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9</xdr:col>
      <xdr:colOff>600480</xdr:colOff>
      <xdr:row>19</xdr:row>
      <xdr:rowOff>158040</xdr:rowOff>
    </xdr:to>
    <xdr:graphicFrame>
      <xdr:nvGraphicFramePr>
        <xdr:cNvPr id="0" name="Chart 1"/>
        <xdr:cNvGraphicFramePr/>
      </xdr:nvGraphicFramePr>
      <xdr:xfrm>
        <a:off x="0" y="570600"/>
        <a:ext cx="6835680" cy="3235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xdr:row>
      <xdr:rowOff>160920</xdr:rowOff>
    </xdr:from>
    <xdr:to>
      <xdr:col>20</xdr:col>
      <xdr:colOff>600480</xdr:colOff>
      <xdr:row>19</xdr:row>
      <xdr:rowOff>158040</xdr:rowOff>
    </xdr:to>
    <xdr:graphicFrame>
      <xdr:nvGraphicFramePr>
        <xdr:cNvPr id="1" name="Chart 2"/>
        <xdr:cNvGraphicFramePr/>
      </xdr:nvGraphicFramePr>
      <xdr:xfrm>
        <a:off x="7620480" y="570600"/>
        <a:ext cx="6835680" cy="32356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21</xdr:row>
      <xdr:rowOff>160920</xdr:rowOff>
    </xdr:from>
    <xdr:to>
      <xdr:col>9</xdr:col>
      <xdr:colOff>600480</xdr:colOff>
      <xdr:row>38</xdr:row>
      <xdr:rowOff>158040</xdr:rowOff>
    </xdr:to>
    <xdr:graphicFrame>
      <xdr:nvGraphicFramePr>
        <xdr:cNvPr id="2" name="Chart 3"/>
        <xdr:cNvGraphicFramePr/>
      </xdr:nvGraphicFramePr>
      <xdr:xfrm>
        <a:off x="0" y="4190040"/>
        <a:ext cx="6835680" cy="32356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21</xdr:row>
      <xdr:rowOff>160920</xdr:rowOff>
    </xdr:from>
    <xdr:to>
      <xdr:col>20</xdr:col>
      <xdr:colOff>600480</xdr:colOff>
      <xdr:row>38</xdr:row>
      <xdr:rowOff>158040</xdr:rowOff>
    </xdr:to>
    <xdr:graphicFrame>
      <xdr:nvGraphicFramePr>
        <xdr:cNvPr id="3" name="Chart 4"/>
        <xdr:cNvGraphicFramePr/>
      </xdr:nvGraphicFramePr>
      <xdr:xfrm>
        <a:off x="7620480" y="4190040"/>
        <a:ext cx="6835680" cy="32356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40</xdr:row>
      <xdr:rowOff>160560</xdr:rowOff>
    </xdr:from>
    <xdr:to>
      <xdr:col>9</xdr:col>
      <xdr:colOff>600480</xdr:colOff>
      <xdr:row>57</xdr:row>
      <xdr:rowOff>158040</xdr:rowOff>
    </xdr:to>
    <xdr:graphicFrame>
      <xdr:nvGraphicFramePr>
        <xdr:cNvPr id="4" name="Chart 5"/>
        <xdr:cNvGraphicFramePr/>
      </xdr:nvGraphicFramePr>
      <xdr:xfrm>
        <a:off x="0" y="7809120"/>
        <a:ext cx="6835680" cy="32360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0</xdr:colOff>
      <xdr:row>40</xdr:row>
      <xdr:rowOff>160560</xdr:rowOff>
    </xdr:from>
    <xdr:to>
      <xdr:col>20</xdr:col>
      <xdr:colOff>600480</xdr:colOff>
      <xdr:row>57</xdr:row>
      <xdr:rowOff>158040</xdr:rowOff>
    </xdr:to>
    <xdr:graphicFrame>
      <xdr:nvGraphicFramePr>
        <xdr:cNvPr id="5" name="Chart 6"/>
        <xdr:cNvGraphicFramePr/>
      </xdr:nvGraphicFramePr>
      <xdr:xfrm>
        <a:off x="7620480" y="7809120"/>
        <a:ext cx="6835680" cy="32360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59</xdr:row>
      <xdr:rowOff>160560</xdr:rowOff>
    </xdr:from>
    <xdr:to>
      <xdr:col>9</xdr:col>
      <xdr:colOff>600480</xdr:colOff>
      <xdr:row>76</xdr:row>
      <xdr:rowOff>157680</xdr:rowOff>
    </xdr:to>
    <xdr:graphicFrame>
      <xdr:nvGraphicFramePr>
        <xdr:cNvPr id="6" name="Chart 7"/>
        <xdr:cNvGraphicFramePr/>
      </xdr:nvGraphicFramePr>
      <xdr:xfrm>
        <a:off x="0" y="11428560"/>
        <a:ext cx="6835680" cy="32356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
</Relationships>
</file>

<file path=xl/worksheets/_rels/sheet18.xml.rels><?xml version="1.0" encoding="UTF-8"?>
<Relationships xmlns="http://schemas.openxmlformats.org/package/2006/relationships"><Relationship Id="rId1" Type="http://schemas.openxmlformats.org/officeDocument/2006/relationships/drawing" Target="../drawings/drawing1.x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J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5" zeroHeight="false" outlineLevelRow="0" outlineLevelCol="0"/>
  <cols>
    <col collapsed="false" customWidth="true" hidden="false" outlineLevel="0" max="1" min="1" style="1" width="3"/>
    <col collapsed="false" customWidth="true" hidden="false" outlineLevel="0" max="2" min="2" style="1" width="95"/>
    <col collapsed="false" customWidth="true" hidden="false" outlineLevel="0" max="10" min="3" style="0" width="13"/>
  </cols>
  <sheetData>
    <row r="1" customFormat="false" ht="9.75" hidden="false" customHeight="true" outlineLevel="0" collapsed="false">
      <c r="A1" s="2"/>
      <c r="B1" s="2"/>
      <c r="C1" s="2"/>
      <c r="D1" s="2"/>
      <c r="E1" s="2"/>
      <c r="F1" s="2"/>
      <c r="G1" s="2"/>
      <c r="H1" s="2"/>
      <c r="I1" s="2"/>
      <c r="J1" s="2"/>
    </row>
    <row r="2" customFormat="false" ht="39.75" hidden="false" customHeight="true" outlineLevel="0" collapsed="false">
      <c r="A2" s="2"/>
      <c r="B2" s="3" t="s">
        <v>0</v>
      </c>
      <c r="C2" s="2"/>
      <c r="D2" s="2"/>
      <c r="E2" s="2"/>
      <c r="F2" s="2"/>
      <c r="G2" s="2"/>
      <c r="H2" s="2"/>
      <c r="I2" s="2"/>
      <c r="J2" s="2"/>
    </row>
    <row r="3" customFormat="false" ht="21.75" hidden="false" customHeight="true" outlineLevel="0" collapsed="false">
      <c r="A3" s="2"/>
      <c r="B3" s="4" t="s">
        <v>1</v>
      </c>
      <c r="C3" s="2"/>
      <c r="D3" s="2"/>
      <c r="E3" s="2"/>
      <c r="F3" s="2"/>
      <c r="G3" s="2"/>
      <c r="H3" s="2"/>
      <c r="I3" s="2"/>
      <c r="J3" s="2"/>
    </row>
    <row r="4" customFormat="false" ht="9.75" hidden="false" customHeight="true" outlineLevel="0" collapsed="false">
      <c r="A4" s="2"/>
      <c r="B4" s="2"/>
      <c r="C4" s="2"/>
      <c r="D4" s="2"/>
      <c r="E4" s="2"/>
      <c r="F4" s="2"/>
      <c r="G4" s="2"/>
      <c r="H4" s="2"/>
      <c r="I4" s="2"/>
      <c r="J4" s="2"/>
    </row>
    <row r="5" customFormat="false" ht="21.75" hidden="false" customHeight="true" outlineLevel="0" collapsed="false">
      <c r="A5" s="5"/>
      <c r="B5" s="6" t="s">
        <v>2</v>
      </c>
      <c r="C5" s="5"/>
      <c r="D5" s="5"/>
      <c r="E5" s="5"/>
      <c r="F5" s="5"/>
      <c r="G5" s="5"/>
      <c r="H5" s="5"/>
      <c r="I5" s="5"/>
      <c r="J5" s="5"/>
    </row>
    <row r="6" customFormat="false" ht="9.75" hidden="false" customHeight="true" outlineLevel="0" collapsed="false">
      <c r="A6" s="5"/>
      <c r="B6" s="5"/>
      <c r="C6" s="5"/>
      <c r="D6" s="5"/>
      <c r="E6" s="5"/>
      <c r="F6" s="5"/>
      <c r="G6" s="5"/>
      <c r="H6" s="5"/>
      <c r="I6" s="5"/>
      <c r="J6" s="5"/>
    </row>
    <row r="8" customFormat="false" ht="42" hidden="false" customHeight="true" outlineLevel="0" collapsed="false">
      <c r="B8" s="7" t="s">
        <v>3</v>
      </c>
      <c r="C8" s="7"/>
      <c r="D8" s="7"/>
      <c r="E8" s="7"/>
      <c r="F8" s="7"/>
      <c r="G8" s="7"/>
      <c r="H8" s="7"/>
      <c r="I8" s="7"/>
      <c r="J8" s="7"/>
    </row>
    <row r="9" customFormat="false" ht="27.75" hidden="false" customHeight="true" outlineLevel="0" collapsed="false">
      <c r="B9" s="8" t="s">
        <v>4</v>
      </c>
      <c r="C9" s="8"/>
      <c r="D9" s="8"/>
      <c r="E9" s="8"/>
      <c r="F9" s="8"/>
      <c r="G9" s="8"/>
      <c r="H9" s="8"/>
      <c r="I9" s="8"/>
      <c r="J9" s="8"/>
    </row>
    <row r="10" customFormat="false" ht="27.75" hidden="false" customHeight="true" outlineLevel="0" collapsed="false">
      <c r="B10" s="9"/>
    </row>
    <row r="11" customFormat="false" ht="27.75" hidden="false" customHeight="true" outlineLevel="0" collapsed="false">
      <c r="B11" s="10"/>
    </row>
    <row r="12" customFormat="false" ht="27.75" hidden="false" customHeight="true" outlineLevel="0" collapsed="false"/>
    <row r="13" customFormat="false" ht="27.75" hidden="false" customHeight="true" outlineLevel="0" collapsed="false">
      <c r="B13" s="11"/>
    </row>
    <row r="15" customFormat="false" ht="15.75" hidden="false" customHeight="true" outlineLevel="0" collapsed="false"/>
    <row r="16" customFormat="false" ht="60" hidden="false" customHeight="true" outlineLevel="0" collapsed="false">
      <c r="B16" s="12" t="s">
        <v>5</v>
      </c>
    </row>
    <row r="17" customFormat="false" ht="25.35" hidden="false" customHeight="false" outlineLevel="0" collapsed="false">
      <c r="B17" s="11" t="s">
        <v>6</v>
      </c>
    </row>
    <row r="18" customFormat="false" ht="15.75" hidden="false" customHeight="true" outlineLevel="0" collapsed="false">
      <c r="B18" s="11" t="s">
        <v>7</v>
      </c>
    </row>
    <row r="19" customFormat="false" ht="15" hidden="false" customHeight="true" outlineLevel="0" collapsed="false">
      <c r="B19" s="11" t="s">
        <v>8</v>
      </c>
    </row>
    <row r="20" customFormat="false" ht="15" hidden="false" customHeight="true" outlineLevel="0" collapsed="false">
      <c r="B20" s="11" t="s">
        <v>9</v>
      </c>
    </row>
    <row r="21" customFormat="false" ht="15" hidden="false" customHeight="true" outlineLevel="0" collapsed="false">
      <c r="B21" s="11" t="s">
        <v>10</v>
      </c>
    </row>
    <row r="22" customFormat="false" ht="15" hidden="false" customHeight="true" outlineLevel="0" collapsed="false"/>
    <row r="23" customFormat="false" ht="15" hidden="false" customHeight="true" outlineLevel="0" collapsed="false">
      <c r="B23" s="12" t="s">
        <v>11</v>
      </c>
    </row>
    <row r="24" customFormat="false" ht="15" hidden="false" customHeight="true" outlineLevel="0" collapsed="false">
      <c r="B24" s="11" t="s">
        <v>12</v>
      </c>
    </row>
    <row r="25" customFormat="false" ht="15" hidden="false" customHeight="true" outlineLevel="0" collapsed="false"/>
    <row r="26" customFormat="false" ht="15" hidden="false" customHeight="true" outlineLevel="0" collapsed="false">
      <c r="B26" s="12" t="s">
        <v>13</v>
      </c>
    </row>
    <row r="27" customFormat="false" ht="15" hidden="false" customHeight="true" outlineLevel="0" collapsed="false">
      <c r="B27" s="11" t="s">
        <v>14</v>
      </c>
    </row>
    <row r="28" customFormat="false" ht="15" hidden="false" customHeight="true" outlineLevel="0" collapsed="false">
      <c r="B28" s="11" t="s">
        <v>15</v>
      </c>
    </row>
    <row r="29" customFormat="false" ht="15" hidden="false" customHeight="true" outlineLevel="0" collapsed="false">
      <c r="B29" s="11" t="s">
        <v>16</v>
      </c>
    </row>
    <row r="30" customFormat="false" ht="15" hidden="false" customHeight="true" outlineLevel="0" collapsed="false">
      <c r="B30" s="11" t="s">
        <v>17</v>
      </c>
    </row>
    <row r="31" customFormat="false" ht="15" hidden="false" customHeight="false" outlineLevel="0" collapsed="false">
      <c r="B31" s="11" t="s">
        <v>18</v>
      </c>
    </row>
    <row r="32" customFormat="false" ht="15.75" hidden="false" customHeight="true" outlineLevel="0" collapsed="false">
      <c r="B32" s="11" t="s">
        <v>19</v>
      </c>
    </row>
    <row r="33" customFormat="false" ht="15" hidden="false" customHeight="true" outlineLevel="0" collapsed="false">
      <c r="B33" s="11" t="s">
        <v>20</v>
      </c>
    </row>
    <row r="34" customFormat="false" ht="15" hidden="false" customHeight="true" outlineLevel="0" collapsed="false">
      <c r="B34" s="11" t="s">
        <v>21</v>
      </c>
    </row>
    <row r="35" customFormat="false" ht="15" hidden="false" customHeight="true" outlineLevel="0" collapsed="false">
      <c r="B35" s="11" t="s">
        <v>22</v>
      </c>
    </row>
    <row r="36" customFormat="false" ht="15" hidden="false" customHeight="true" outlineLevel="0" collapsed="false">
      <c r="B36" s="11" t="s">
        <v>23</v>
      </c>
    </row>
    <row r="37" customFormat="false" ht="15" hidden="false" customHeight="false" outlineLevel="0" collapsed="false">
      <c r="B37" s="11" t="s">
        <v>24</v>
      </c>
    </row>
    <row r="38" customFormat="false" ht="15.75" hidden="false" customHeight="true" outlineLevel="0" collapsed="false">
      <c r="B38" s="11" t="s">
        <v>25</v>
      </c>
    </row>
    <row r="39" customFormat="false" ht="39.75" hidden="false" customHeight="true" outlineLevel="0" collapsed="false"/>
    <row r="40" customFormat="false" ht="16.15" hidden="false" customHeight="false" outlineLevel="0" collapsed="false">
      <c r="B40" s="12" t="s">
        <v>26</v>
      </c>
    </row>
    <row r="41" customFormat="false" ht="15" hidden="false" customHeight="false" outlineLevel="0" collapsed="false">
      <c r="B41" s="13" t="s">
        <v>27</v>
      </c>
    </row>
    <row r="42" customFormat="false" ht="15.75" hidden="false" customHeight="true" outlineLevel="0" collapsed="false">
      <c r="B42" s="13" t="s">
        <v>28</v>
      </c>
    </row>
    <row r="43" customFormat="false" ht="39.75" hidden="false" customHeight="true" outlineLevel="0" collapsed="false">
      <c r="B43" s="13" t="s">
        <v>29</v>
      </c>
    </row>
    <row r="44" customFormat="false" ht="15" hidden="false" customHeight="false" outlineLevel="0" collapsed="false">
      <c r="B44" s="13" t="s">
        <v>30</v>
      </c>
    </row>
    <row r="46" customFormat="false" ht="16.15" hidden="false" customHeight="false" outlineLevel="0" collapsed="false">
      <c r="B46" s="12" t="s">
        <v>31</v>
      </c>
    </row>
    <row r="47" customFormat="false" ht="43.25" hidden="false" customHeight="false" outlineLevel="0" collapsed="false">
      <c r="B47" s="14" t="s">
        <v>32</v>
      </c>
    </row>
    <row r="50" customFormat="false" ht="16.15" hidden="false" customHeight="false" outlineLevel="0" collapsed="false">
      <c r="B50" s="12" t="s">
        <v>33</v>
      </c>
    </row>
    <row r="51" customFormat="false" ht="49.25" hidden="false" customHeight="false" outlineLevel="0" collapsed="false">
      <c r="B51" s="11" t="s">
        <v>34</v>
      </c>
    </row>
  </sheetData>
  <mergeCells count="2">
    <mergeCell ref="B8:J8"/>
    <mergeCell ref="B9:J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A33D"/>
    <pageSetUpPr fitToPage="false"/>
  </sheetPr>
  <dimension ref="A1:G23"/>
  <sheetViews>
    <sheetView showFormulas="false" showGridLines="false" showRowColHeaders="true" showZeros="true" rightToLeft="false" tabSelected="false" showOutlineSymbols="true" defaultGridColor="true" view="normal" topLeftCell="A5" colorId="64" zoomScale="100" zoomScaleNormal="100" zoomScalePageLayoutView="100" workbookViewId="0">
      <pane xSplit="1" ySplit="5" topLeftCell="B6" activePane="bottomRight" state="frozen"/>
      <selection pane="topLeft" activeCell="A5" activeCellId="0" sqref="A5"/>
      <selection pane="topRight" activeCell="B5" activeCellId="0" sqref="B5"/>
      <selection pane="bottomLeft" activeCell="A6" activeCellId="0" sqref="A6"/>
      <selection pane="bottomRight" activeCell="C3" activeCellId="0" sqref="C3"/>
    </sheetView>
  </sheetViews>
  <sheetFormatPr defaultColWidth="8.6328125" defaultRowHeight="14.25" zeroHeight="false" outlineLevelRow="0" outlineLevelCol="0"/>
  <cols>
    <col collapsed="false" customWidth="true" hidden="false" outlineLevel="0" max="1" min="1" style="15" width="46"/>
    <col collapsed="false" customWidth="true" hidden="false" outlineLevel="0" max="7" min="2" style="15" width="13"/>
  </cols>
  <sheetData>
    <row r="1" customFormat="false" ht="24" hidden="false" customHeight="true" outlineLevel="0" collapsed="false">
      <c r="A1" s="16" t="s">
        <v>35</v>
      </c>
      <c r="B1" s="16"/>
      <c r="C1" s="16"/>
      <c r="D1" s="16"/>
      <c r="E1" s="16"/>
      <c r="F1" s="16"/>
      <c r="G1" s="17"/>
    </row>
    <row r="2" customFormat="false" ht="15" hidden="false" customHeight="true" outlineLevel="0" collapsed="false">
      <c r="A2" s="18" t="s">
        <v>36</v>
      </c>
      <c r="B2" s="17"/>
      <c r="C2" s="17"/>
      <c r="D2" s="17"/>
      <c r="E2" s="17"/>
      <c r="F2" s="17"/>
      <c r="G2" s="17"/>
    </row>
    <row r="3" customFormat="false" ht="15" hidden="false" customHeight="true" outlineLevel="0" collapsed="false">
      <c r="A3" s="19" t="s">
        <v>37</v>
      </c>
      <c r="B3" s="20" t="s">
        <v>38</v>
      </c>
      <c r="C3" s="21" t="n">
        <f aca="false">MATCH($B$3,{"Worst","Neutral","Best"},0)</f>
        <v>2</v>
      </c>
      <c r="D3" s="22" t="s">
        <v>39</v>
      </c>
      <c r="E3" s="17"/>
      <c r="F3" s="17"/>
      <c r="G3" s="17"/>
    </row>
    <row r="4" customFormat="false" ht="15" hidden="false" customHeight="true" outlineLevel="0" collapsed="false">
      <c r="A4" s="17" t="s">
        <v>40</v>
      </c>
      <c r="B4" s="17"/>
      <c r="C4" s="23" t="str">
        <f aca="false">CHOOSE($C$3,"Worst Case","Neutral Case","Best Case")</f>
        <v>Neutral Case</v>
      </c>
      <c r="D4" s="17"/>
      <c r="E4" s="17"/>
      <c r="F4" s="17"/>
      <c r="G4" s="17"/>
    </row>
    <row r="5" customFormat="false" ht="15" hidden="false" customHeight="true" outlineLevel="0" collapsed="false">
      <c r="A5" s="17"/>
      <c r="B5" s="17"/>
      <c r="C5" s="17"/>
      <c r="D5" s="17"/>
      <c r="E5" s="17"/>
      <c r="F5" s="17"/>
      <c r="G5" s="17"/>
    </row>
    <row r="6" customFormat="false" ht="15" hidden="false" customHeight="true" outlineLevel="0" collapsed="false">
      <c r="A6" s="24" t="s">
        <v>41</v>
      </c>
      <c r="B6" s="24"/>
      <c r="C6" s="24"/>
      <c r="D6" s="24"/>
      <c r="E6" s="24"/>
      <c r="F6" s="24"/>
      <c r="G6" s="17"/>
    </row>
    <row r="7" customFormat="false" ht="15" hidden="false" customHeight="true" outlineLevel="0" collapsed="false">
      <c r="A7" s="17"/>
      <c r="B7" s="17"/>
      <c r="C7" s="25"/>
      <c r="D7" s="25"/>
      <c r="E7" s="25"/>
      <c r="F7" s="17"/>
      <c r="G7" s="17"/>
    </row>
    <row r="8" customFormat="false" ht="15" hidden="false" customHeight="true" outlineLevel="0" collapsed="false">
      <c r="A8" s="17"/>
      <c r="B8" s="17"/>
      <c r="C8" s="25"/>
      <c r="D8" s="25"/>
      <c r="E8" s="25"/>
      <c r="F8" s="17"/>
      <c r="G8" s="17"/>
    </row>
    <row r="9" customFormat="false" ht="15" hidden="false" customHeight="true" outlineLevel="0" collapsed="false">
      <c r="A9" s="17"/>
      <c r="B9" s="17"/>
      <c r="C9" s="17"/>
      <c r="D9" s="17"/>
      <c r="E9" s="17"/>
      <c r="F9" s="17"/>
      <c r="G9" s="17"/>
    </row>
    <row r="10" customFormat="false" ht="15" hidden="false" customHeight="true" outlineLevel="0" collapsed="false">
      <c r="A10" s="17" t="s">
        <v>42</v>
      </c>
      <c r="B10" s="17"/>
      <c r="C10" s="25" t="n">
        <v>0.015</v>
      </c>
      <c r="D10" s="17"/>
      <c r="E10" s="17"/>
      <c r="F10" s="17"/>
      <c r="G10" s="17"/>
    </row>
    <row r="11" customFormat="false" ht="15" hidden="false" customHeight="true" outlineLevel="0" collapsed="false">
      <c r="A11" s="17" t="s">
        <v>43</v>
      </c>
      <c r="B11" s="17"/>
      <c r="C11" s="26" t="n">
        <f aca="false">'CFS Input'!D9/'Balance Sheet Input'!C11</f>
        <v>0.209184467383966</v>
      </c>
      <c r="D11" s="22" t="s">
        <v>44</v>
      </c>
      <c r="E11" s="17"/>
      <c r="F11" s="17"/>
      <c r="G11" s="17"/>
    </row>
    <row r="12" customFormat="false" ht="15" hidden="false" customHeight="true" outlineLevel="0" collapsed="false">
      <c r="A12" s="17" t="s">
        <v>45</v>
      </c>
      <c r="B12" s="17"/>
      <c r="C12" s="25" t="n">
        <v>0.5</v>
      </c>
      <c r="D12" s="17"/>
      <c r="E12" s="17"/>
      <c r="F12" s="17"/>
      <c r="G12" s="17"/>
    </row>
    <row r="13" customFormat="false" ht="15" hidden="false" customHeight="true" outlineLevel="0" collapsed="false">
      <c r="A13" s="17" t="s">
        <v>46</v>
      </c>
      <c r="B13" s="17"/>
      <c r="C13" s="25" t="n">
        <v>0.09</v>
      </c>
      <c r="D13" s="17"/>
      <c r="E13" s="17"/>
      <c r="F13" s="17"/>
      <c r="G13" s="17"/>
    </row>
    <row r="14" customFormat="false" ht="15" hidden="false" customHeight="true" outlineLevel="0" collapsed="false">
      <c r="A14" s="17" t="s">
        <v>47</v>
      </c>
      <c r="B14" s="17"/>
      <c r="C14" s="25" t="n">
        <v>0.035</v>
      </c>
      <c r="D14" s="17"/>
      <c r="E14" s="17"/>
      <c r="F14" s="17"/>
      <c r="G14" s="17"/>
    </row>
    <row r="15" customFormat="false" ht="15" hidden="false" customHeight="true" outlineLevel="0" collapsed="false">
      <c r="A15" s="17" t="s">
        <v>48</v>
      </c>
      <c r="B15" s="17"/>
      <c r="C15" s="25" t="n">
        <v>0.1725</v>
      </c>
      <c r="D15" s="17"/>
      <c r="E15" s="17"/>
      <c r="F15" s="17"/>
      <c r="G15" s="17"/>
    </row>
    <row r="16" customFormat="false" ht="15" hidden="false" customHeight="true" outlineLevel="0" collapsed="false">
      <c r="A16" s="17" t="s">
        <v>49</v>
      </c>
      <c r="B16" s="17"/>
      <c r="C16" s="25" t="n">
        <v>0.0655</v>
      </c>
      <c r="D16" s="17"/>
      <c r="E16" s="17"/>
      <c r="F16" s="17"/>
      <c r="G16" s="17"/>
    </row>
    <row r="17" customFormat="false" ht="15" hidden="false" customHeight="true" outlineLevel="0" collapsed="false">
      <c r="A17" s="17" t="s">
        <v>50</v>
      </c>
      <c r="B17" s="17"/>
      <c r="C17" s="27" t="n">
        <v>0.0082</v>
      </c>
      <c r="D17" s="17"/>
      <c r="E17" s="17"/>
      <c r="F17" s="17"/>
      <c r="G17" s="17"/>
    </row>
    <row r="18" customFormat="false" ht="15" hidden="false" customHeight="true" outlineLevel="0" collapsed="false">
      <c r="A18" s="17" t="s">
        <v>51</v>
      </c>
      <c r="B18" s="17"/>
      <c r="C18" s="27" t="n">
        <v>0.0148</v>
      </c>
      <c r="D18" s="17"/>
      <c r="E18" s="17"/>
      <c r="F18" s="17"/>
      <c r="G18" s="17"/>
    </row>
    <row r="19" customFormat="false" ht="15" hidden="false" customHeight="true" outlineLevel="0" collapsed="false">
      <c r="A19" s="17" t="s">
        <v>52</v>
      </c>
      <c r="B19" s="17"/>
      <c r="C19" s="28" t="n">
        <f aca="false">Debt!D55</f>
        <v>0.0476</v>
      </c>
      <c r="D19" s="22" t="s">
        <v>53</v>
      </c>
      <c r="E19" s="17"/>
      <c r="F19" s="17"/>
      <c r="G19" s="17"/>
    </row>
    <row r="20" customFormat="false" ht="15" hidden="false" customHeight="true" outlineLevel="0" collapsed="false">
      <c r="A20" s="17" t="s">
        <v>54</v>
      </c>
      <c r="B20" s="17"/>
      <c r="C20" s="29" t="n">
        <v>28678</v>
      </c>
      <c r="D20" s="17"/>
      <c r="E20" s="17"/>
      <c r="F20" s="17"/>
      <c r="G20" s="17"/>
    </row>
    <row r="21" customFormat="false" ht="15" hidden="false" customHeight="true" outlineLevel="0" collapsed="false">
      <c r="A21" s="17"/>
      <c r="B21" s="17"/>
      <c r="C21" s="17"/>
      <c r="D21" s="17"/>
      <c r="E21" s="17"/>
      <c r="F21" s="17"/>
      <c r="G21" s="17"/>
    </row>
    <row r="22" customFormat="false" ht="15" hidden="false" customHeight="true" outlineLevel="0" collapsed="false">
      <c r="A22" s="30" t="s">
        <v>55</v>
      </c>
      <c r="B22" s="17"/>
      <c r="C22" s="31" t="s">
        <v>56</v>
      </c>
      <c r="D22" s="31" t="s">
        <v>57</v>
      </c>
      <c r="E22" s="31" t="s">
        <v>58</v>
      </c>
      <c r="F22" s="31" t="s">
        <v>59</v>
      </c>
      <c r="G22" s="31" t="s">
        <v>60</v>
      </c>
    </row>
    <row r="23" customFormat="false" ht="15" hidden="false" customHeight="true" outlineLevel="0" collapsed="false">
      <c r="A23" s="17" t="s">
        <v>61</v>
      </c>
      <c r="B23" s="17"/>
      <c r="C23" s="29" t="n">
        <v>9127167</v>
      </c>
      <c r="D23" s="29" t="n">
        <v>9127167</v>
      </c>
      <c r="E23" s="29" t="n">
        <v>9127167</v>
      </c>
      <c r="F23" s="29" t="n">
        <v>9127167</v>
      </c>
      <c r="G23" s="29" t="n">
        <v>9127167</v>
      </c>
    </row>
  </sheetData>
  <mergeCells count="2">
    <mergeCell ref="A1:F1"/>
    <mergeCell ref="A6:F6"/>
  </mergeCells>
  <dataValidations count="1">
    <dataValidation allowBlank="false" errorStyle="stop" operator="between" showDropDown="false" showErrorMessage="false" showInputMessage="false" sqref="B3" type="list">
      <formula1>"Worst,Neutral,Best"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A33D"/>
    <pageSetUpPr fitToPage="false"/>
  </sheetPr>
  <dimension ref="A1:K255"/>
  <sheetViews>
    <sheetView showFormulas="false" showGridLines="false" showRowColHeaders="true" showZeros="true" rightToLeft="false" tabSelected="false" showOutlineSymbols="true" defaultGridColor="true" view="normal" topLeftCell="A26" colorId="64" zoomScale="80" zoomScaleNormal="80" zoomScalePageLayoutView="100" workbookViewId="0">
      <pane xSplit="1" ySplit="1" topLeftCell="B2" activePane="bottomRight" state="frozen"/>
      <selection pane="topLeft" activeCell="A26" activeCellId="0" sqref="A26"/>
      <selection pane="topRight" activeCell="B26" activeCellId="0" sqref="B26"/>
      <selection pane="bottomLeft" activeCell="A2" activeCellId="0" sqref="A2"/>
      <selection pane="bottomRight" activeCell="A9" activeCellId="0" sqref="A9"/>
    </sheetView>
  </sheetViews>
  <sheetFormatPr defaultColWidth="8.6328125" defaultRowHeight="14.25" zeroHeight="false" outlineLevelRow="0" outlineLevelCol="0"/>
  <cols>
    <col collapsed="false" customWidth="true" hidden="false" outlineLevel="0" max="1" min="1" style="15" width="46"/>
    <col collapsed="false" customWidth="true" hidden="false" outlineLevel="0" max="5" min="2" style="15" width="12"/>
    <col collapsed="false" customWidth="true" hidden="false" outlineLevel="0" max="6" min="6" style="32" width="12"/>
    <col collapsed="false" customWidth="true" hidden="false" outlineLevel="0" max="11" min="7" style="15" width="12"/>
  </cols>
  <sheetData>
    <row r="1" customFormat="false" ht="14.25" hidden="false" customHeight="true" outlineLevel="0" collapsed="false">
      <c r="A1" s="33" t="s">
        <v>62</v>
      </c>
      <c r="B1" s="34"/>
      <c r="C1" s="35"/>
      <c r="D1" s="35"/>
      <c r="E1" s="35"/>
      <c r="F1" s="36"/>
      <c r="G1" s="17"/>
      <c r="H1" s="17"/>
      <c r="I1" s="17"/>
      <c r="J1" s="17"/>
      <c r="K1" s="17"/>
    </row>
    <row r="2" customFormat="false" ht="14.25" hidden="false" customHeight="true" outlineLevel="0" collapsed="false">
      <c r="A2" s="37" t="s">
        <v>63</v>
      </c>
      <c r="C2" s="38"/>
      <c r="D2" s="38"/>
      <c r="E2" s="38"/>
      <c r="F2" s="36"/>
      <c r="G2" s="17"/>
      <c r="H2" s="17"/>
      <c r="I2" s="17"/>
      <c r="J2" s="17"/>
      <c r="K2" s="17"/>
    </row>
    <row r="3" customFormat="false" ht="14.25" hidden="false" customHeight="true" outlineLevel="0" collapsed="false">
      <c r="A3" s="35"/>
      <c r="C3" s="38"/>
      <c r="D3" s="38"/>
      <c r="E3" s="38"/>
      <c r="F3" s="36"/>
      <c r="G3" s="17"/>
      <c r="H3" s="17"/>
      <c r="I3" s="17"/>
      <c r="J3" s="17"/>
      <c r="K3" s="17"/>
    </row>
    <row r="4" customFormat="false" ht="14.25" hidden="false" customHeight="true" outlineLevel="0" collapsed="false">
      <c r="A4" s="39" t="s">
        <v>64</v>
      </c>
      <c r="C4" s="38"/>
      <c r="D4" s="38"/>
      <c r="E4" s="38"/>
      <c r="F4" s="36"/>
      <c r="G4" s="17"/>
      <c r="H4" s="17"/>
      <c r="I4" s="17"/>
      <c r="J4" s="17"/>
      <c r="K4" s="17"/>
    </row>
    <row r="5" customFormat="false" ht="60" hidden="false" customHeight="true" outlineLevel="0" collapsed="false">
      <c r="A5" s="8" t="s">
        <v>65</v>
      </c>
      <c r="B5" s="8"/>
      <c r="C5" s="8"/>
      <c r="D5" s="8"/>
      <c r="E5" s="8"/>
      <c r="F5" s="8"/>
      <c r="G5" s="8"/>
      <c r="H5" s="8"/>
      <c r="I5" s="17"/>
      <c r="J5" s="17"/>
      <c r="K5" s="17"/>
    </row>
    <row r="6" customFormat="false" ht="14.25" hidden="false" customHeight="true" outlineLevel="0" collapsed="false">
      <c r="A6" s="39" t="s">
        <v>66</v>
      </c>
      <c r="C6" s="40" t="s">
        <v>67</v>
      </c>
      <c r="D6" s="40" t="s">
        <v>56</v>
      </c>
      <c r="E6" s="40" t="s">
        <v>57</v>
      </c>
      <c r="F6" s="41" t="s">
        <v>58</v>
      </c>
      <c r="G6" s="41" t="s">
        <v>59</v>
      </c>
      <c r="H6" s="41" t="s">
        <v>60</v>
      </c>
      <c r="I6" s="17"/>
      <c r="J6" s="17"/>
      <c r="K6" s="17"/>
    </row>
    <row r="7" customFormat="false" ht="14.25" hidden="false" customHeight="true" outlineLevel="0" collapsed="false">
      <c r="A7" s="17" t="s">
        <v>68</v>
      </c>
      <c r="B7" s="17"/>
      <c r="C7" s="42" t="n">
        <v>0.03</v>
      </c>
      <c r="D7" s="42" t="n">
        <v>0.03</v>
      </c>
      <c r="E7" s="42" t="n">
        <v>0.03</v>
      </c>
      <c r="F7" s="43" t="n">
        <v>0.03</v>
      </c>
      <c r="G7" s="42" t="n">
        <v>0.03</v>
      </c>
      <c r="H7" s="42" t="n">
        <v>0.03</v>
      </c>
      <c r="I7" s="17"/>
      <c r="J7" s="17"/>
      <c r="K7" s="17"/>
    </row>
    <row r="8" customFormat="false" ht="14.25" hidden="false" customHeight="true" outlineLevel="0" collapsed="false">
      <c r="A8" s="17" t="s">
        <v>38</v>
      </c>
      <c r="B8" s="17"/>
      <c r="C8" s="42" t="n">
        <v>0.05</v>
      </c>
      <c r="D8" s="42" t="n">
        <v>0.05</v>
      </c>
      <c r="E8" s="42" t="n">
        <v>0.05</v>
      </c>
      <c r="F8" s="43" t="n">
        <v>0.05</v>
      </c>
      <c r="G8" s="42" t="n">
        <v>0.05</v>
      </c>
      <c r="H8" s="42" t="n">
        <v>0.05</v>
      </c>
      <c r="I8" s="17"/>
      <c r="J8" s="17"/>
      <c r="K8" s="17"/>
    </row>
    <row r="9" customFormat="false" ht="14.25" hidden="false" customHeight="true" outlineLevel="0" collapsed="false">
      <c r="A9" s="44" t="s">
        <v>69</v>
      </c>
      <c r="B9" s="17"/>
      <c r="C9" s="42" t="n">
        <v>0.07</v>
      </c>
      <c r="D9" s="42" t="n">
        <v>0.07</v>
      </c>
      <c r="E9" s="42" t="n">
        <v>0.07</v>
      </c>
      <c r="F9" s="43" t="n">
        <v>0.07</v>
      </c>
      <c r="G9" s="42" t="n">
        <v>0.07</v>
      </c>
      <c r="H9" s="42" t="n">
        <v>0.07</v>
      </c>
      <c r="I9" s="17"/>
      <c r="J9" s="17"/>
      <c r="K9" s="17"/>
    </row>
    <row r="10" customFormat="false" ht="14.25" hidden="false" customHeight="true" outlineLevel="0" collapsed="false">
      <c r="A10" s="19" t="s">
        <v>70</v>
      </c>
      <c r="B10" s="17"/>
      <c r="C10" s="45" t="n">
        <f aca="false">CHOOSE(MATCH('Model Control'!$B$3,{"Worst","Neutral","Best"},0),C7,C8,C9)</f>
        <v>0.05</v>
      </c>
      <c r="D10" s="45" t="n">
        <f aca="false">CHOOSE(MATCH('Model Control'!$B$3,{"Worst","Neutral","Best"},0),D7,D8,D9)</f>
        <v>0.05</v>
      </c>
      <c r="E10" s="45" t="n">
        <f aca="false">CHOOSE(MATCH('Model Control'!$B$3,{"Worst","Neutral","Best"},0),E7,E8,E9)</f>
        <v>0.05</v>
      </c>
      <c r="F10" s="45" t="n">
        <f aca="false">CHOOSE(MATCH('Model Control'!$B$3,{"Worst","Neutral","Best"},0),F7,F8,F9)</f>
        <v>0.05</v>
      </c>
      <c r="G10" s="45" t="n">
        <f aca="false">CHOOSE(MATCH('Model Control'!$B$3,{"Worst","Neutral","Best"},0),G7,G8,G9)</f>
        <v>0.05</v>
      </c>
      <c r="H10" s="45" t="n">
        <f aca="false">CHOOSE(MATCH('Model Control'!$B$3,{"Worst","Neutral","Best"},0),H7,H8,H9)</f>
        <v>0.05</v>
      </c>
      <c r="I10" s="17"/>
      <c r="J10" s="17"/>
      <c r="K10" s="17"/>
    </row>
    <row r="11" customFormat="false" ht="14.25" hidden="false" customHeight="true" outlineLevel="0" collapsed="false">
      <c r="A11" s="46"/>
      <c r="B11" s="47"/>
      <c r="C11" s="47"/>
      <c r="D11" s="47"/>
      <c r="E11" s="17"/>
      <c r="F11" s="36"/>
      <c r="G11" s="17"/>
      <c r="H11" s="17"/>
      <c r="I11" s="17"/>
      <c r="J11" s="17"/>
      <c r="K11" s="17"/>
    </row>
    <row r="12" customFormat="false" ht="14.25" hidden="false" customHeight="true" outlineLevel="0" collapsed="false">
      <c r="A12" s="39" t="s">
        <v>71</v>
      </c>
      <c r="B12" s="48"/>
      <c r="C12" s="48"/>
      <c r="D12" s="48"/>
      <c r="E12" s="17"/>
      <c r="F12" s="36"/>
      <c r="G12" s="17"/>
      <c r="H12" s="17"/>
      <c r="I12" s="17"/>
      <c r="J12" s="17"/>
      <c r="K12" s="17"/>
    </row>
    <row r="13" customFormat="false" ht="60" hidden="false" customHeight="true" outlineLevel="0" collapsed="false">
      <c r="A13" s="8" t="s">
        <v>72</v>
      </c>
      <c r="B13" s="8"/>
      <c r="C13" s="8"/>
      <c r="D13" s="8"/>
      <c r="E13" s="8"/>
      <c r="F13" s="8"/>
      <c r="G13" s="8"/>
      <c r="H13" s="8"/>
      <c r="I13" s="17"/>
      <c r="J13" s="17"/>
      <c r="K13" s="17"/>
    </row>
    <row r="14" customFormat="false" ht="14.25" hidden="false" customHeight="true" outlineLevel="0" collapsed="false">
      <c r="A14" s="49" t="s">
        <v>66</v>
      </c>
      <c r="B14" s="48"/>
      <c r="C14" s="50" t="s">
        <v>67</v>
      </c>
      <c r="D14" s="50" t="s">
        <v>56</v>
      </c>
      <c r="E14" s="41" t="s">
        <v>57</v>
      </c>
      <c r="F14" s="41" t="s">
        <v>58</v>
      </c>
      <c r="G14" s="41" t="s">
        <v>59</v>
      </c>
      <c r="H14" s="41" t="s">
        <v>60</v>
      </c>
      <c r="I14" s="17"/>
      <c r="J14" s="17"/>
      <c r="K14" s="17"/>
    </row>
    <row r="15" customFormat="false" ht="29.25" hidden="false" customHeight="true" outlineLevel="0" collapsed="false">
      <c r="A15" s="51" t="s">
        <v>68</v>
      </c>
      <c r="C15" s="42" t="n">
        <v>0.06</v>
      </c>
      <c r="D15" s="42" t="n">
        <v>0.06</v>
      </c>
      <c r="E15" s="42" t="n">
        <v>0.06</v>
      </c>
      <c r="F15" s="43" t="n">
        <v>0.06</v>
      </c>
      <c r="G15" s="42" t="n">
        <v>0.06</v>
      </c>
      <c r="H15" s="42" t="n">
        <v>0.06</v>
      </c>
      <c r="I15" s="17"/>
      <c r="J15" s="17"/>
      <c r="K15" s="17"/>
    </row>
    <row r="16" customFormat="false" ht="14.25" hidden="false" customHeight="true" outlineLevel="0" collapsed="false">
      <c r="A16" s="35" t="s">
        <v>38</v>
      </c>
      <c r="B16" s="17"/>
      <c r="C16" s="42" t="n">
        <v>0.09</v>
      </c>
      <c r="D16" s="42" t="n">
        <v>0.09</v>
      </c>
      <c r="E16" s="42" t="n">
        <v>0.09</v>
      </c>
      <c r="F16" s="43" t="n">
        <v>0.09</v>
      </c>
      <c r="G16" s="42" t="n">
        <v>0.09</v>
      </c>
      <c r="H16" s="42" t="n">
        <v>0.09</v>
      </c>
      <c r="I16" s="17"/>
      <c r="J16" s="17"/>
      <c r="K16" s="17"/>
    </row>
    <row r="17" customFormat="false" ht="14.25" hidden="false" customHeight="true" outlineLevel="0" collapsed="false">
      <c r="A17" s="35" t="s">
        <v>69</v>
      </c>
      <c r="B17" s="17"/>
      <c r="C17" s="42" t="n">
        <v>0.12</v>
      </c>
      <c r="D17" s="42" t="n">
        <v>0.12</v>
      </c>
      <c r="E17" s="42" t="n">
        <v>0.12</v>
      </c>
      <c r="F17" s="43" t="n">
        <v>0.12</v>
      </c>
      <c r="G17" s="42" t="n">
        <v>0.12</v>
      </c>
      <c r="H17" s="42" t="n">
        <v>0.12</v>
      </c>
      <c r="I17" s="17"/>
      <c r="J17" s="17"/>
      <c r="K17" s="17"/>
    </row>
    <row r="18" customFormat="false" ht="14.25" hidden="false" customHeight="true" outlineLevel="0" collapsed="false">
      <c r="A18" s="39" t="s">
        <v>70</v>
      </c>
      <c r="B18" s="17"/>
      <c r="C18" s="45" t="n">
        <f aca="false">CHOOSE(MATCH('Model Control'!$B$3,{"Worst","Neutral","Best"},0),C15,C16,C17)</f>
        <v>0.09</v>
      </c>
      <c r="D18" s="45" t="n">
        <f aca="false">CHOOSE(MATCH('Model Control'!$B$3,{"Worst","Neutral","Best"},0),D15,D16,D17)</f>
        <v>0.09</v>
      </c>
      <c r="E18" s="45" t="n">
        <f aca="false">CHOOSE(MATCH('Model Control'!$B$3,{"Worst","Neutral","Best"},0),E15,E16,E17)</f>
        <v>0.09</v>
      </c>
      <c r="F18" s="45" t="n">
        <f aca="false">CHOOSE(MATCH('Model Control'!$B$3,{"Worst","Neutral","Best"},0),F15,F16,F17)</f>
        <v>0.09</v>
      </c>
      <c r="G18" s="45" t="n">
        <f aca="false">CHOOSE(MATCH('Model Control'!$B$3,{"Worst","Neutral","Best"},0),G15,G16,G17)</f>
        <v>0.09</v>
      </c>
      <c r="H18" s="45" t="n">
        <f aca="false">CHOOSE(MATCH('Model Control'!$B$3,{"Worst","Neutral","Best"},0),H15,H16,H17)</f>
        <v>0.09</v>
      </c>
      <c r="I18" s="17"/>
      <c r="J18" s="17"/>
      <c r="K18" s="17"/>
    </row>
    <row r="19" customFormat="false" ht="14.25" hidden="false" customHeight="true" outlineLevel="0" collapsed="false">
      <c r="A19" s="35"/>
      <c r="B19" s="17"/>
      <c r="C19" s="17"/>
      <c r="D19" s="17"/>
      <c r="E19" s="17"/>
      <c r="F19" s="36"/>
      <c r="G19" s="17"/>
      <c r="H19" s="17"/>
      <c r="I19" s="17"/>
      <c r="J19" s="17"/>
      <c r="K19" s="17"/>
    </row>
    <row r="20" customFormat="false" ht="14.25" hidden="false" customHeight="true" outlineLevel="0" collapsed="false">
      <c r="A20" s="19" t="s">
        <v>73</v>
      </c>
      <c r="B20" s="17"/>
      <c r="C20" s="17"/>
      <c r="D20" s="17"/>
      <c r="E20" s="17"/>
      <c r="F20" s="36"/>
      <c r="G20" s="17"/>
      <c r="H20" s="17"/>
      <c r="I20" s="17"/>
      <c r="J20" s="17"/>
      <c r="K20" s="17"/>
    </row>
    <row r="21" customFormat="false" ht="60" hidden="false" customHeight="true" outlineLevel="0" collapsed="false">
      <c r="A21" s="8" t="s">
        <v>74</v>
      </c>
      <c r="B21" s="8"/>
      <c r="C21" s="8"/>
      <c r="D21" s="8"/>
      <c r="E21" s="8"/>
      <c r="F21" s="8"/>
      <c r="G21" s="8"/>
      <c r="H21" s="8"/>
      <c r="I21" s="17"/>
      <c r="J21" s="17"/>
      <c r="K21" s="17"/>
    </row>
    <row r="22" customFormat="false" ht="14.25" hidden="false" customHeight="true" outlineLevel="0" collapsed="false">
      <c r="A22" s="19" t="s">
        <v>66</v>
      </c>
      <c r="B22" s="17"/>
      <c r="C22" s="41" t="s">
        <v>67</v>
      </c>
      <c r="D22" s="41" t="s">
        <v>56</v>
      </c>
      <c r="E22" s="41" t="s">
        <v>57</v>
      </c>
      <c r="F22" s="41" t="s">
        <v>58</v>
      </c>
      <c r="G22" s="41" t="s">
        <v>59</v>
      </c>
      <c r="H22" s="41" t="s">
        <v>60</v>
      </c>
      <c r="I22" s="17"/>
      <c r="J22" s="17"/>
      <c r="K22" s="17"/>
    </row>
    <row r="23" customFormat="false" ht="14.25" hidden="false" customHeight="true" outlineLevel="0" collapsed="false">
      <c r="A23" s="35" t="s">
        <v>68</v>
      </c>
      <c r="B23" s="17"/>
      <c r="C23" s="42" t="n">
        <v>0.05</v>
      </c>
      <c r="D23" s="42" t="n">
        <v>0.05</v>
      </c>
      <c r="E23" s="42" t="n">
        <v>0.05</v>
      </c>
      <c r="F23" s="43" t="n">
        <v>0.05</v>
      </c>
      <c r="G23" s="42" t="n">
        <v>0.05</v>
      </c>
      <c r="H23" s="42" t="n">
        <v>0.05</v>
      </c>
      <c r="I23" s="17"/>
      <c r="J23" s="17"/>
      <c r="K23" s="17"/>
    </row>
    <row r="24" customFormat="false" ht="14.25" hidden="false" customHeight="true" outlineLevel="0" collapsed="false">
      <c r="A24" s="17" t="s">
        <v>38</v>
      </c>
      <c r="B24" s="17"/>
      <c r="C24" s="42" t="n">
        <v>0.08</v>
      </c>
      <c r="D24" s="42" t="n">
        <v>0.08</v>
      </c>
      <c r="E24" s="42" t="n">
        <v>0.08</v>
      </c>
      <c r="F24" s="43" t="n">
        <v>0.08</v>
      </c>
      <c r="G24" s="42" t="n">
        <v>0.08</v>
      </c>
      <c r="H24" s="42" t="n">
        <v>0.08</v>
      </c>
      <c r="I24" s="17"/>
      <c r="J24" s="17"/>
      <c r="K24" s="17"/>
    </row>
    <row r="25" customFormat="false" ht="14.25" hidden="false" customHeight="true" outlineLevel="0" collapsed="false">
      <c r="A25" s="35" t="s">
        <v>69</v>
      </c>
      <c r="C25" s="52" t="n">
        <v>0.11</v>
      </c>
      <c r="D25" s="52" t="n">
        <v>0.11</v>
      </c>
      <c r="E25" s="52" t="n">
        <v>0.11</v>
      </c>
      <c r="F25" s="43" t="n">
        <v>0.11</v>
      </c>
      <c r="G25" s="42" t="n">
        <v>0.11</v>
      </c>
      <c r="H25" s="42" t="n">
        <v>0.11</v>
      </c>
      <c r="I25" s="17"/>
      <c r="J25" s="17"/>
      <c r="K25" s="17"/>
    </row>
    <row r="26" customFormat="false" ht="14.25" hidden="false" customHeight="true" outlineLevel="0" collapsed="false">
      <c r="A26" s="39" t="s">
        <v>70</v>
      </c>
      <c r="C26" s="53" t="n">
        <f aca="false">CHOOSE(MATCH('Model Control'!$B$3,{"Worst","Neutral","Best"},0),C23,C24,C25)</f>
        <v>0.08</v>
      </c>
      <c r="D26" s="53" t="n">
        <f aca="false">CHOOSE(MATCH('Model Control'!$B$3,{"Worst","Neutral","Best"},0),D23,D24,D25)</f>
        <v>0.08</v>
      </c>
      <c r="E26" s="53" t="n">
        <f aca="false">CHOOSE(MATCH('Model Control'!$B$3,{"Worst","Neutral","Best"},0),E23,E24,E25)</f>
        <v>0.08</v>
      </c>
      <c r="F26" s="45" t="n">
        <f aca="false">CHOOSE(MATCH('Model Control'!$B$3,{"Worst","Neutral","Best"},0),F23,F24,F25)</f>
        <v>0.08</v>
      </c>
      <c r="G26" s="45" t="n">
        <f aca="false">CHOOSE(MATCH('Model Control'!$B$3,{"Worst","Neutral","Best"},0),G23,G24,G25)</f>
        <v>0.08</v>
      </c>
      <c r="H26" s="45" t="n">
        <f aca="false">CHOOSE(MATCH('Model Control'!$B$3,{"Worst","Neutral","Best"},0),H23,H24,H25)</f>
        <v>0.08</v>
      </c>
      <c r="I26" s="17"/>
      <c r="J26" s="17"/>
      <c r="K26" s="17"/>
    </row>
    <row r="27" customFormat="false" ht="14.25" hidden="false" customHeight="true" outlineLevel="0" collapsed="false">
      <c r="A27" s="35"/>
      <c r="C27" s="38"/>
      <c r="D27" s="38"/>
      <c r="E27" s="38"/>
      <c r="F27" s="36"/>
      <c r="G27" s="54"/>
      <c r="H27" s="17"/>
      <c r="I27" s="17"/>
      <c r="J27" s="17"/>
      <c r="K27" s="17"/>
    </row>
    <row r="28" customFormat="false" ht="14.25" hidden="false" customHeight="true" outlineLevel="0" collapsed="false">
      <c r="A28" s="39" t="s">
        <v>75</v>
      </c>
      <c r="C28" s="38"/>
      <c r="D28" s="38"/>
      <c r="E28" s="38"/>
      <c r="F28" s="36"/>
      <c r="G28" s="54"/>
      <c r="H28" s="17"/>
      <c r="I28" s="17"/>
      <c r="J28" s="17"/>
      <c r="K28" s="17"/>
    </row>
    <row r="29" customFormat="false" ht="60" hidden="false" customHeight="true" outlineLevel="0" collapsed="false">
      <c r="A29" s="8" t="s">
        <v>76</v>
      </c>
      <c r="B29" s="8"/>
      <c r="C29" s="8"/>
      <c r="D29" s="8"/>
      <c r="E29" s="8"/>
      <c r="F29" s="8"/>
      <c r="G29" s="8"/>
      <c r="H29" s="8"/>
      <c r="I29" s="17"/>
      <c r="J29" s="17"/>
      <c r="K29" s="17"/>
    </row>
    <row r="30" customFormat="false" ht="14.25" hidden="false" customHeight="true" outlineLevel="0" collapsed="false">
      <c r="A30" s="39" t="s">
        <v>66</v>
      </c>
      <c r="C30" s="40" t="s">
        <v>67</v>
      </c>
      <c r="D30" s="40" t="s">
        <v>56</v>
      </c>
      <c r="E30" s="40" t="s">
        <v>57</v>
      </c>
      <c r="F30" s="41" t="s">
        <v>58</v>
      </c>
      <c r="G30" s="55" t="s">
        <v>59</v>
      </c>
      <c r="H30" s="41" t="s">
        <v>60</v>
      </c>
      <c r="I30" s="17"/>
      <c r="J30" s="17"/>
      <c r="K30" s="17"/>
    </row>
    <row r="31" customFormat="false" ht="14.25" hidden="false" customHeight="true" outlineLevel="0" collapsed="false">
      <c r="A31" s="35" t="s">
        <v>68</v>
      </c>
      <c r="C31" s="56" t="n">
        <v>0.08</v>
      </c>
      <c r="D31" s="56" t="n">
        <v>0.08</v>
      </c>
      <c r="E31" s="56" t="n">
        <v>0.08</v>
      </c>
      <c r="F31" s="43" t="n">
        <v>0.08</v>
      </c>
      <c r="G31" s="42" t="n">
        <v>0.08</v>
      </c>
      <c r="H31" s="42" t="n">
        <v>0.08</v>
      </c>
      <c r="I31" s="17"/>
      <c r="J31" s="17"/>
      <c r="K31" s="17"/>
    </row>
    <row r="32" customFormat="false" ht="14.25" hidden="false" customHeight="true" outlineLevel="0" collapsed="false">
      <c r="A32" s="57" t="s">
        <v>38</v>
      </c>
      <c r="B32" s="57"/>
      <c r="C32" s="58" t="n">
        <v>0.12</v>
      </c>
      <c r="D32" s="58" t="n">
        <v>0.12</v>
      </c>
      <c r="E32" s="58" t="n">
        <v>0.12</v>
      </c>
      <c r="F32" s="43" t="n">
        <v>0.12</v>
      </c>
      <c r="G32" s="42" t="n">
        <v>0.12</v>
      </c>
      <c r="H32" s="42" t="n">
        <v>0.12</v>
      </c>
      <c r="I32" s="17"/>
      <c r="J32" s="17"/>
      <c r="K32" s="17"/>
    </row>
    <row r="33" customFormat="false" ht="14.25" hidden="false" customHeight="true" outlineLevel="0" collapsed="false">
      <c r="A33" s="17" t="s">
        <v>69</v>
      </c>
      <c r="B33" s="17"/>
      <c r="C33" s="42" t="n">
        <v>0.16</v>
      </c>
      <c r="D33" s="42" t="n">
        <v>0.16</v>
      </c>
      <c r="E33" s="42" t="n">
        <v>0.16</v>
      </c>
      <c r="F33" s="43" t="n">
        <v>0.16</v>
      </c>
      <c r="G33" s="42" t="n">
        <v>0.16</v>
      </c>
      <c r="H33" s="42" t="n">
        <v>0.16</v>
      </c>
      <c r="I33" s="17"/>
      <c r="J33" s="17"/>
      <c r="K33" s="17"/>
    </row>
    <row r="34" customFormat="false" ht="14.25" hidden="false" customHeight="true" outlineLevel="0" collapsed="false">
      <c r="A34" s="39" t="s">
        <v>70</v>
      </c>
      <c r="B34" s="17"/>
      <c r="C34" s="45" t="n">
        <f aca="false">CHOOSE(MATCH('Model Control'!$B$3,{"Worst","Neutral","Best"},0),C31,C32,C33)</f>
        <v>0.12</v>
      </c>
      <c r="D34" s="45" t="n">
        <f aca="false">CHOOSE(MATCH('Model Control'!$B$3,{"Worst","Neutral","Best"},0),D31,D32,D33)</f>
        <v>0.12</v>
      </c>
      <c r="E34" s="45" t="n">
        <f aca="false">CHOOSE(MATCH('Model Control'!$B$3,{"Worst","Neutral","Best"},0),E31,E32,E33)</f>
        <v>0.12</v>
      </c>
      <c r="F34" s="45" t="n">
        <f aca="false">CHOOSE(MATCH('Model Control'!$B$3,{"Worst","Neutral","Best"},0),F31,F32,F33)</f>
        <v>0.12</v>
      </c>
      <c r="G34" s="45" t="n">
        <f aca="false">CHOOSE(MATCH('Model Control'!$B$3,{"Worst","Neutral","Best"},0),G31,G32,G33)</f>
        <v>0.12</v>
      </c>
      <c r="H34" s="45" t="n">
        <f aca="false">CHOOSE(MATCH('Model Control'!$B$3,{"Worst","Neutral","Best"},0),H31,H32,H33)</f>
        <v>0.12</v>
      </c>
      <c r="I34" s="17"/>
      <c r="J34" s="17"/>
      <c r="K34" s="17"/>
    </row>
    <row r="35" customFormat="false" ht="25.5" hidden="false" customHeight="true" outlineLevel="0" collapsed="false">
      <c r="A35" s="51"/>
      <c r="F35" s="36"/>
      <c r="G35" s="17"/>
      <c r="H35" s="17"/>
      <c r="I35" s="17"/>
      <c r="J35" s="17"/>
      <c r="K35" s="17"/>
    </row>
    <row r="36" customFormat="false" ht="14.25" hidden="false" customHeight="true" outlineLevel="0" collapsed="false">
      <c r="A36" s="19" t="s">
        <v>77</v>
      </c>
      <c r="B36" s="17"/>
      <c r="C36" s="17"/>
      <c r="D36" s="17"/>
      <c r="E36" s="17"/>
      <c r="F36" s="36"/>
      <c r="G36" s="17"/>
      <c r="H36" s="17"/>
      <c r="I36" s="17"/>
      <c r="J36" s="17"/>
      <c r="K36" s="17"/>
    </row>
    <row r="37" customFormat="false" ht="60" hidden="false" customHeight="true" outlineLevel="0" collapsed="false">
      <c r="A37" s="8" t="s">
        <v>78</v>
      </c>
      <c r="B37" s="8"/>
      <c r="C37" s="8"/>
      <c r="D37" s="8"/>
      <c r="E37" s="8"/>
      <c r="F37" s="8"/>
      <c r="G37" s="8"/>
      <c r="H37" s="8"/>
      <c r="I37" s="17"/>
      <c r="J37" s="17"/>
      <c r="K37" s="17"/>
    </row>
    <row r="38" customFormat="false" ht="14.25" hidden="false" customHeight="true" outlineLevel="0" collapsed="false">
      <c r="A38" s="39" t="s">
        <v>66</v>
      </c>
      <c r="B38" s="17"/>
      <c r="C38" s="41" t="s">
        <v>67</v>
      </c>
      <c r="D38" s="41" t="s">
        <v>56</v>
      </c>
      <c r="E38" s="41" t="s">
        <v>57</v>
      </c>
      <c r="F38" s="41" t="s">
        <v>58</v>
      </c>
      <c r="G38" s="41" t="s">
        <v>59</v>
      </c>
      <c r="H38" s="41" t="s">
        <v>60</v>
      </c>
      <c r="I38" s="17"/>
      <c r="J38" s="17"/>
      <c r="K38" s="17"/>
    </row>
    <row r="39" customFormat="false" ht="15.75" hidden="false" customHeight="true" outlineLevel="0" collapsed="false">
      <c r="A39" s="51" t="s">
        <v>68</v>
      </c>
      <c r="C39" s="42" t="n">
        <v>0.15</v>
      </c>
      <c r="D39" s="42" t="n">
        <v>0.15</v>
      </c>
      <c r="E39" s="42" t="n">
        <v>0.15</v>
      </c>
      <c r="F39" s="43" t="n">
        <v>0.15</v>
      </c>
      <c r="G39" s="42" t="n">
        <v>0.15</v>
      </c>
      <c r="H39" s="42" t="n">
        <v>0.15</v>
      </c>
      <c r="I39" s="17"/>
      <c r="J39" s="17"/>
      <c r="K39" s="17"/>
    </row>
    <row r="40" customFormat="false" ht="14.25" hidden="false" customHeight="true" outlineLevel="0" collapsed="false">
      <c r="A40" s="17" t="s">
        <v>38</v>
      </c>
      <c r="B40" s="17"/>
      <c r="C40" s="42" t="n">
        <v>0.1</v>
      </c>
      <c r="D40" s="42" t="n">
        <v>0.1</v>
      </c>
      <c r="E40" s="42" t="n">
        <v>0.1</v>
      </c>
      <c r="F40" s="43" t="n">
        <v>0.1</v>
      </c>
      <c r="G40" s="42" t="n">
        <v>0.1</v>
      </c>
      <c r="H40" s="42" t="n">
        <v>0.1</v>
      </c>
      <c r="I40" s="17"/>
      <c r="J40" s="17"/>
      <c r="K40" s="17"/>
    </row>
    <row r="41" customFormat="false" ht="43.5" hidden="false" customHeight="true" outlineLevel="0" collapsed="false">
      <c r="A41" s="51" t="s">
        <v>69</v>
      </c>
      <c r="C41" s="42" t="n">
        <v>0.07</v>
      </c>
      <c r="D41" s="42" t="n">
        <v>0.07</v>
      </c>
      <c r="E41" s="42" t="n">
        <v>0.07</v>
      </c>
      <c r="F41" s="43" t="n">
        <v>0.07</v>
      </c>
      <c r="G41" s="42" t="n">
        <v>0.07</v>
      </c>
      <c r="H41" s="42" t="n">
        <v>0.07</v>
      </c>
      <c r="I41" s="17"/>
      <c r="J41" s="17"/>
      <c r="K41" s="17"/>
    </row>
    <row r="42" customFormat="false" ht="14.25" hidden="false" customHeight="true" outlineLevel="0" collapsed="false">
      <c r="A42" s="19" t="s">
        <v>70</v>
      </c>
      <c r="B42" s="17"/>
      <c r="C42" s="45" t="n">
        <f aca="false">CHOOSE(MATCH('Model Control'!$B$3,{"Worst","Neutral","Best"},0),C39,C40,C41)</f>
        <v>0.1</v>
      </c>
      <c r="D42" s="45" t="n">
        <f aca="false">CHOOSE(MATCH('Model Control'!$B$3,{"Worst","Neutral","Best"},0),D39,D40,D41)</f>
        <v>0.1</v>
      </c>
      <c r="E42" s="45" t="n">
        <f aca="false">CHOOSE(MATCH('Model Control'!$B$3,{"Worst","Neutral","Best"},0),E39,E40,E41)</f>
        <v>0.1</v>
      </c>
      <c r="F42" s="45" t="n">
        <f aca="false">CHOOSE(MATCH('Model Control'!$B$3,{"Worst","Neutral","Best"},0),F39,F40,F41)</f>
        <v>0.1</v>
      </c>
      <c r="G42" s="45" t="n">
        <f aca="false">CHOOSE(MATCH('Model Control'!$B$3,{"Worst","Neutral","Best"},0),G39,G40,G41)</f>
        <v>0.1</v>
      </c>
      <c r="H42" s="45" t="n">
        <f aca="false">CHOOSE(MATCH('Model Control'!$B$3,{"Worst","Neutral","Best"},0),H39,H40,H41)</f>
        <v>0.1</v>
      </c>
      <c r="I42" s="17"/>
      <c r="J42" s="17"/>
      <c r="K42" s="17"/>
    </row>
    <row r="43" customFormat="false" ht="14.25" hidden="false" customHeight="true" outlineLevel="0" collapsed="false">
      <c r="A43" s="35"/>
      <c r="B43" s="17"/>
      <c r="C43" s="17"/>
      <c r="D43" s="17"/>
      <c r="E43" s="17"/>
      <c r="F43" s="36"/>
      <c r="G43" s="17"/>
      <c r="H43" s="17"/>
      <c r="I43" s="17"/>
      <c r="J43" s="17"/>
      <c r="K43" s="17"/>
    </row>
    <row r="44" customFormat="false" ht="14.25" hidden="false" customHeight="true" outlineLevel="0" collapsed="false">
      <c r="A44" s="19" t="s">
        <v>79</v>
      </c>
      <c r="B44" s="17"/>
      <c r="C44" s="17"/>
      <c r="D44" s="17"/>
      <c r="E44" s="17"/>
      <c r="F44" s="36"/>
      <c r="G44" s="17"/>
      <c r="H44" s="17"/>
      <c r="I44" s="17"/>
      <c r="J44" s="17"/>
      <c r="K44" s="17"/>
    </row>
    <row r="45" customFormat="false" ht="60" hidden="false" customHeight="true" outlineLevel="0" collapsed="false">
      <c r="A45" s="8" t="s">
        <v>80</v>
      </c>
      <c r="B45" s="8"/>
      <c r="C45" s="8"/>
      <c r="D45" s="8"/>
      <c r="E45" s="8"/>
      <c r="F45" s="8"/>
      <c r="G45" s="8"/>
      <c r="H45" s="8"/>
      <c r="I45" s="17"/>
      <c r="J45" s="17"/>
      <c r="K45" s="17"/>
    </row>
    <row r="46" customFormat="false" ht="14.25" hidden="false" customHeight="true" outlineLevel="0" collapsed="false">
      <c r="A46" s="39" t="s">
        <v>66</v>
      </c>
      <c r="C46" s="40" t="s">
        <v>67</v>
      </c>
      <c r="D46" s="40" t="s">
        <v>56</v>
      </c>
      <c r="E46" s="40" t="s">
        <v>57</v>
      </c>
      <c r="F46" s="41" t="s">
        <v>58</v>
      </c>
      <c r="G46" s="41" t="s">
        <v>59</v>
      </c>
      <c r="H46" s="41" t="s">
        <v>60</v>
      </c>
      <c r="I46" s="17"/>
      <c r="J46" s="17"/>
      <c r="K46" s="17"/>
    </row>
    <row r="47" customFormat="false" ht="14.25" hidden="false" customHeight="true" outlineLevel="0" collapsed="false">
      <c r="A47" s="35" t="s">
        <v>68</v>
      </c>
      <c r="C47" s="59" t="n">
        <f aca="false">'P&amp;L Input'!E4/'P&amp;L Input'!E3</f>
        <v>0.515134241975241</v>
      </c>
      <c r="D47" s="56" t="n">
        <v>0.517134</v>
      </c>
      <c r="E47" s="56" t="n">
        <v>0.519134</v>
      </c>
      <c r="F47" s="43" t="n">
        <v>0.520134</v>
      </c>
      <c r="G47" s="42" t="n">
        <v>0.522134</v>
      </c>
      <c r="H47" s="42" t="n">
        <v>0.525134</v>
      </c>
      <c r="I47" s="17"/>
      <c r="J47" s="17"/>
      <c r="K47" s="17"/>
    </row>
    <row r="48" customFormat="false" ht="14.25" hidden="false" customHeight="true" outlineLevel="0" collapsed="false">
      <c r="A48" s="35" t="s">
        <v>38</v>
      </c>
      <c r="C48" s="59" t="n">
        <f aca="false">'P&amp;L Input'!E4/'P&amp;L Input'!E3</f>
        <v>0.515134241975241</v>
      </c>
      <c r="D48" s="56" t="n">
        <v>0.512134</v>
      </c>
      <c r="E48" s="56" t="n">
        <v>0.509134</v>
      </c>
      <c r="F48" s="43" t="n">
        <v>0.506134</v>
      </c>
      <c r="G48" s="42" t="n">
        <v>0.503134</v>
      </c>
      <c r="H48" s="42" t="n">
        <v>0.500134</v>
      </c>
      <c r="I48" s="17"/>
      <c r="J48" s="17"/>
      <c r="K48" s="17"/>
    </row>
    <row r="49" customFormat="false" ht="14.25" hidden="false" customHeight="true" outlineLevel="0" collapsed="false">
      <c r="A49" s="35" t="s">
        <v>69</v>
      </c>
      <c r="C49" s="59" t="n">
        <f aca="false">'P&amp;L Input'!E4/'P&amp;L Input'!E3</f>
        <v>0.515134241975241</v>
      </c>
      <c r="D49" s="56" t="n">
        <v>0.508134</v>
      </c>
      <c r="E49" s="56" t="n">
        <v>0.501134</v>
      </c>
      <c r="F49" s="43" t="n">
        <v>0.494134</v>
      </c>
      <c r="G49" s="42" t="n">
        <v>0.488134</v>
      </c>
      <c r="H49" s="42" t="n">
        <v>0.483134</v>
      </c>
      <c r="I49" s="17"/>
      <c r="J49" s="17"/>
      <c r="K49" s="17"/>
    </row>
    <row r="50" customFormat="false" ht="14.25" hidden="false" customHeight="true" outlineLevel="0" collapsed="false">
      <c r="A50" s="39" t="s">
        <v>70</v>
      </c>
      <c r="C50" s="53" t="n">
        <f aca="false">CHOOSE(MATCH('Model Control'!$B$3,{"Worst","Neutral","Best"},0),C47,C48,C49)</f>
        <v>0.515134241975241</v>
      </c>
      <c r="D50" s="53" t="n">
        <f aca="false">CHOOSE(MATCH('Model Control'!$B$3,{"Worst","Neutral","Best"},0),D47,D48,D49)</f>
        <v>0.512134</v>
      </c>
      <c r="E50" s="53" t="n">
        <f aca="false">CHOOSE(MATCH('Model Control'!$B$3,{"Worst","Neutral","Best"},0),E47,E48,E49)</f>
        <v>0.509134</v>
      </c>
      <c r="F50" s="45" t="n">
        <f aca="false">CHOOSE(MATCH('Model Control'!$B$3,{"Worst","Neutral","Best"},0),F47,F48,F49)</f>
        <v>0.506134</v>
      </c>
      <c r="G50" s="45" t="n">
        <f aca="false">CHOOSE(MATCH('Model Control'!$B$3,{"Worst","Neutral","Best"},0),G47,G48,G49)</f>
        <v>0.503134</v>
      </c>
      <c r="H50" s="45" t="n">
        <f aca="false">CHOOSE(MATCH('Model Control'!$B$3,{"Worst","Neutral","Best"},0),H47,H48,H49)</f>
        <v>0.500134</v>
      </c>
      <c r="I50" s="17"/>
      <c r="J50" s="17"/>
      <c r="K50" s="17"/>
    </row>
    <row r="51" customFormat="false" ht="14.25" hidden="false" customHeight="true" outlineLevel="0" collapsed="false">
      <c r="A51" s="35"/>
      <c r="C51" s="38"/>
      <c r="D51" s="38"/>
      <c r="E51" s="38"/>
      <c r="F51" s="36"/>
      <c r="H51" s="17"/>
      <c r="I51" s="17"/>
      <c r="J51" s="17"/>
      <c r="K51" s="17"/>
    </row>
    <row r="52" customFormat="false" ht="14.25" hidden="false" customHeight="true" outlineLevel="0" collapsed="false">
      <c r="A52" s="60" t="s">
        <v>81</v>
      </c>
      <c r="B52" s="57"/>
      <c r="C52" s="57"/>
      <c r="D52" s="57"/>
      <c r="E52" s="57"/>
      <c r="F52" s="36"/>
      <c r="G52" s="17"/>
      <c r="H52" s="17"/>
      <c r="I52" s="17"/>
      <c r="J52" s="17"/>
      <c r="K52" s="17"/>
    </row>
    <row r="53" customFormat="false" ht="60" hidden="false" customHeight="true" outlineLevel="0" collapsed="false">
      <c r="A53" s="8" t="s">
        <v>82</v>
      </c>
      <c r="B53" s="8"/>
      <c r="C53" s="8"/>
      <c r="D53" s="8"/>
      <c r="E53" s="8"/>
      <c r="F53" s="8"/>
      <c r="G53" s="8"/>
      <c r="H53" s="8"/>
      <c r="I53" s="17"/>
      <c r="J53" s="17"/>
      <c r="K53" s="17"/>
    </row>
    <row r="54" customFormat="false" ht="14.25" hidden="false" customHeight="true" outlineLevel="0" collapsed="false">
      <c r="A54" s="39" t="s">
        <v>66</v>
      </c>
      <c r="B54" s="17"/>
      <c r="C54" s="41" t="s">
        <v>67</v>
      </c>
      <c r="D54" s="41" t="s">
        <v>56</v>
      </c>
      <c r="E54" s="41" t="s">
        <v>57</v>
      </c>
      <c r="F54" s="41" t="s">
        <v>58</v>
      </c>
      <c r="G54" s="41" t="s">
        <v>59</v>
      </c>
      <c r="H54" s="41" t="s">
        <v>60</v>
      </c>
      <c r="I54" s="17"/>
      <c r="J54" s="17"/>
      <c r="K54" s="17"/>
    </row>
    <row r="55" customFormat="false" ht="32.25" hidden="false" customHeight="true" outlineLevel="0" collapsed="false">
      <c r="A55" s="51" t="s">
        <v>68</v>
      </c>
      <c r="C55" s="61" t="n">
        <f aca="false">'P&amp;L Input'!E6/'P&amp;L Input'!E3</f>
        <v>0.0730651654306718</v>
      </c>
      <c r="D55" s="42" t="n">
        <v>0.076065</v>
      </c>
      <c r="E55" s="42" t="n">
        <v>0.078065</v>
      </c>
      <c r="F55" s="43" t="n">
        <v>0.080065</v>
      </c>
      <c r="G55" s="42" t="n">
        <v>0.082065</v>
      </c>
      <c r="H55" s="42" t="n">
        <v>0.083065</v>
      </c>
      <c r="I55" s="17"/>
      <c r="J55" s="17"/>
      <c r="K55" s="17"/>
    </row>
    <row r="56" customFormat="false" ht="14.25" hidden="false" customHeight="true" outlineLevel="0" collapsed="false">
      <c r="A56" s="62" t="s">
        <v>38</v>
      </c>
      <c r="B56" s="62"/>
      <c r="C56" s="63" t="n">
        <f aca="false">'P&amp;L Input'!E6/'P&amp;L Input'!E3</f>
        <v>0.0730651654306718</v>
      </c>
      <c r="D56" s="64" t="n">
        <v>0.072065</v>
      </c>
      <c r="E56" s="64" t="n">
        <v>0.071065</v>
      </c>
      <c r="F56" s="43" t="n">
        <v>0.070065</v>
      </c>
      <c r="G56" s="42" t="n">
        <v>0.069065</v>
      </c>
      <c r="H56" s="42" t="n">
        <v>0.068065</v>
      </c>
      <c r="I56" s="17"/>
      <c r="J56" s="17"/>
      <c r="K56" s="17"/>
    </row>
    <row r="57" customFormat="false" ht="41.25" hidden="false" customHeight="true" outlineLevel="0" collapsed="false">
      <c r="A57" s="51" t="s">
        <v>69</v>
      </c>
      <c r="C57" s="61" t="n">
        <f aca="false">'P&amp;L Input'!E6/'P&amp;L Input'!E3</f>
        <v>0.0730651654306718</v>
      </c>
      <c r="D57" s="42" t="n">
        <v>0.070065</v>
      </c>
      <c r="E57" s="42" t="n">
        <v>0.067065</v>
      </c>
      <c r="F57" s="43" t="n">
        <v>0.064065</v>
      </c>
      <c r="G57" s="42" t="n">
        <v>0.062065</v>
      </c>
      <c r="H57" s="42" t="n">
        <v>0.060065</v>
      </c>
      <c r="I57" s="17"/>
      <c r="J57" s="17"/>
      <c r="K57" s="17"/>
    </row>
    <row r="58" customFormat="false" ht="14.25" hidden="false" customHeight="true" outlineLevel="0" collapsed="false">
      <c r="A58" s="65" t="s">
        <v>70</v>
      </c>
      <c r="B58" s="62"/>
      <c r="C58" s="66" t="n">
        <f aca="false">CHOOSE(MATCH('Model Control'!$B$3,{"Worst","Neutral","Best"},0),C55,C56,C57)</f>
        <v>0.0730651654306718</v>
      </c>
      <c r="D58" s="66" t="n">
        <f aca="false">CHOOSE(MATCH('Model Control'!$B$3,{"Worst","Neutral","Best"},0),D55,D56,D57)</f>
        <v>0.072065</v>
      </c>
      <c r="E58" s="66" t="n">
        <f aca="false">CHOOSE(MATCH('Model Control'!$B$3,{"Worst","Neutral","Best"},0),E55,E56,E57)</f>
        <v>0.071065</v>
      </c>
      <c r="F58" s="45" t="n">
        <f aca="false">CHOOSE(MATCH('Model Control'!$B$3,{"Worst","Neutral","Best"},0),F55,F56,F57)</f>
        <v>0.070065</v>
      </c>
      <c r="G58" s="45" t="n">
        <f aca="false">CHOOSE(MATCH('Model Control'!$B$3,{"Worst","Neutral","Best"},0),G55,G56,G57)</f>
        <v>0.069065</v>
      </c>
      <c r="H58" s="45" t="n">
        <f aca="false">CHOOSE(MATCH('Model Control'!$B$3,{"Worst","Neutral","Best"},0),H55,H56,H57)</f>
        <v>0.068065</v>
      </c>
      <c r="I58" s="17"/>
      <c r="J58" s="17"/>
      <c r="K58" s="17"/>
    </row>
    <row r="59" customFormat="false" ht="26.25" hidden="false" customHeight="true" outlineLevel="0" collapsed="false">
      <c r="A59" s="51"/>
      <c r="F59" s="36"/>
      <c r="G59" s="17"/>
      <c r="H59" s="17"/>
      <c r="I59" s="17"/>
      <c r="J59" s="17"/>
      <c r="K59" s="17"/>
    </row>
    <row r="60" customFormat="false" ht="14.25" hidden="false" customHeight="true" outlineLevel="0" collapsed="false">
      <c r="A60" s="19" t="s">
        <v>83</v>
      </c>
      <c r="B60" s="17"/>
      <c r="C60" s="17"/>
      <c r="D60" s="17"/>
      <c r="E60" s="17"/>
      <c r="F60" s="36"/>
      <c r="G60" s="17"/>
      <c r="H60" s="17"/>
      <c r="I60" s="17"/>
      <c r="J60" s="17"/>
      <c r="K60" s="17"/>
    </row>
    <row r="61" customFormat="false" ht="60" hidden="false" customHeight="true" outlineLevel="0" collapsed="false">
      <c r="A61" s="8" t="s">
        <v>84</v>
      </c>
      <c r="B61" s="8"/>
      <c r="C61" s="8"/>
      <c r="D61" s="8"/>
      <c r="E61" s="8"/>
      <c r="F61" s="8"/>
      <c r="G61" s="8"/>
      <c r="H61" s="8"/>
      <c r="I61" s="17"/>
      <c r="J61" s="17"/>
      <c r="K61" s="17"/>
    </row>
    <row r="62" customFormat="false" ht="14.25" hidden="false" customHeight="true" outlineLevel="0" collapsed="false">
      <c r="A62" s="19" t="s">
        <v>66</v>
      </c>
      <c r="B62" s="17"/>
      <c r="C62" s="41" t="s">
        <v>67</v>
      </c>
      <c r="D62" s="41" t="s">
        <v>56</v>
      </c>
      <c r="E62" s="41" t="s">
        <v>57</v>
      </c>
      <c r="F62" s="41" t="s">
        <v>58</v>
      </c>
      <c r="G62" s="41" t="s">
        <v>59</v>
      </c>
      <c r="H62" s="41" t="s">
        <v>60</v>
      </c>
      <c r="I62" s="17"/>
      <c r="J62" s="17"/>
      <c r="K62" s="17"/>
    </row>
    <row r="63" customFormat="false" ht="14.25" hidden="false" customHeight="true" outlineLevel="0" collapsed="false">
      <c r="A63" s="35" t="s">
        <v>68</v>
      </c>
      <c r="B63" s="17"/>
      <c r="C63" s="67" t="n">
        <f aca="false">'P&amp;L Input'!E7/'P&amp;L Input'!E3</f>
        <v>0.075058922556687</v>
      </c>
      <c r="D63" s="52" t="n">
        <v>0.077059</v>
      </c>
      <c r="E63" s="52" t="n">
        <v>0.078059</v>
      </c>
      <c r="F63" s="43" t="n">
        <v>0.080059</v>
      </c>
      <c r="G63" s="42" t="n">
        <v>0.081059</v>
      </c>
      <c r="H63" s="42" t="n">
        <v>0.083059</v>
      </c>
      <c r="I63" s="17"/>
      <c r="J63" s="17"/>
      <c r="K63" s="17"/>
    </row>
    <row r="64" customFormat="false" ht="14.25" hidden="false" customHeight="true" outlineLevel="0" collapsed="false">
      <c r="A64" s="35" t="s">
        <v>38</v>
      </c>
      <c r="B64" s="17"/>
      <c r="C64" s="59" t="n">
        <f aca="false">'P&amp;L Input'!E7/'P&amp;L Input'!E3</f>
        <v>0.075058922556687</v>
      </c>
      <c r="D64" s="56" t="n">
        <v>0.075059</v>
      </c>
      <c r="E64" s="56" t="n">
        <v>0.074059</v>
      </c>
      <c r="F64" s="43" t="n">
        <v>0.073059</v>
      </c>
      <c r="G64" s="42" t="n">
        <v>0.072059</v>
      </c>
      <c r="H64" s="42" t="n">
        <v>0.071059</v>
      </c>
      <c r="I64" s="17"/>
      <c r="J64" s="17"/>
      <c r="K64" s="17"/>
    </row>
    <row r="65" customFormat="false" ht="14.25" hidden="false" customHeight="true" outlineLevel="0" collapsed="false">
      <c r="A65" s="35" t="s">
        <v>69</v>
      </c>
      <c r="B65" s="17"/>
      <c r="C65" s="59" t="n">
        <f aca="false">'P&amp;L Input'!E7/'P&amp;L Input'!E3</f>
        <v>0.075058922556687</v>
      </c>
      <c r="D65" s="56" t="n">
        <v>0.073059</v>
      </c>
      <c r="E65" s="56" t="n">
        <v>0.071059</v>
      </c>
      <c r="F65" s="43" t="n">
        <v>0.070059</v>
      </c>
      <c r="G65" s="42" t="n">
        <v>0.068059</v>
      </c>
      <c r="H65" s="42" t="n">
        <v>0.067059</v>
      </c>
      <c r="I65" s="17"/>
      <c r="J65" s="17"/>
      <c r="K65" s="17"/>
    </row>
    <row r="66" customFormat="false" ht="14.25" hidden="false" customHeight="true" outlineLevel="0" collapsed="false">
      <c r="A66" s="39" t="s">
        <v>70</v>
      </c>
      <c r="B66" s="17"/>
      <c r="C66" s="53" t="n">
        <f aca="false">CHOOSE(MATCH('Model Control'!$B$3,{"Worst","Neutral","Best"},0),C63,C64,C65)</f>
        <v>0.075058922556687</v>
      </c>
      <c r="D66" s="53" t="n">
        <f aca="false">CHOOSE(MATCH('Model Control'!$B$3,{"Worst","Neutral","Best"},0),D63,D64,D65)</f>
        <v>0.075059</v>
      </c>
      <c r="E66" s="53" t="n">
        <f aca="false">CHOOSE(MATCH('Model Control'!$B$3,{"Worst","Neutral","Best"},0),E63,E64,E65)</f>
        <v>0.074059</v>
      </c>
      <c r="F66" s="45" t="n">
        <f aca="false">CHOOSE(MATCH('Model Control'!$B$3,{"Worst","Neutral","Best"},0),F63,F64,F65)</f>
        <v>0.073059</v>
      </c>
      <c r="G66" s="45" t="n">
        <f aca="false">CHOOSE(MATCH('Model Control'!$B$3,{"Worst","Neutral","Best"},0),G63,G64,G65)</f>
        <v>0.072059</v>
      </c>
      <c r="H66" s="45" t="n">
        <f aca="false">CHOOSE(MATCH('Model Control'!$B$3,{"Worst","Neutral","Best"},0),H63,H64,H65)</f>
        <v>0.071059</v>
      </c>
      <c r="I66" s="17"/>
      <c r="J66" s="17"/>
      <c r="K66" s="17"/>
    </row>
    <row r="67" customFormat="false" ht="14.25" hidden="false" customHeight="true" outlineLevel="0" collapsed="false">
      <c r="A67" s="35"/>
      <c r="B67" s="17"/>
      <c r="C67" s="38"/>
      <c r="D67" s="38"/>
      <c r="E67" s="38"/>
      <c r="F67" s="36"/>
      <c r="H67" s="17"/>
      <c r="I67" s="17"/>
      <c r="J67" s="17"/>
      <c r="K67" s="17"/>
    </row>
    <row r="68" customFormat="false" ht="14.25" hidden="false" customHeight="true" outlineLevel="0" collapsed="false">
      <c r="A68" s="39" t="s">
        <v>85</v>
      </c>
      <c r="B68" s="17"/>
      <c r="C68" s="38"/>
      <c r="D68" s="38"/>
      <c r="E68" s="38"/>
      <c r="F68" s="36"/>
      <c r="H68" s="17"/>
      <c r="I68" s="17"/>
      <c r="J68" s="17"/>
      <c r="K68" s="17"/>
    </row>
    <row r="69" customFormat="false" ht="60" hidden="false" customHeight="true" outlineLevel="0" collapsed="false">
      <c r="A69" s="8" t="s">
        <v>86</v>
      </c>
      <c r="B69" s="8"/>
      <c r="C69" s="8"/>
      <c r="D69" s="8"/>
      <c r="E69" s="8"/>
      <c r="F69" s="8"/>
      <c r="G69" s="8"/>
      <c r="H69" s="8"/>
      <c r="I69" s="17"/>
      <c r="J69" s="17"/>
      <c r="K69" s="17"/>
    </row>
    <row r="70" customFormat="false" ht="14.25" hidden="false" customHeight="true" outlineLevel="0" collapsed="false">
      <c r="A70" s="60" t="s">
        <v>66</v>
      </c>
      <c r="B70" s="57"/>
      <c r="C70" s="68" t="s">
        <v>67</v>
      </c>
      <c r="D70" s="68" t="s">
        <v>56</v>
      </c>
      <c r="E70" s="68" t="s">
        <v>57</v>
      </c>
      <c r="F70" s="41" t="s">
        <v>58</v>
      </c>
      <c r="G70" s="41" t="s">
        <v>59</v>
      </c>
      <c r="H70" s="41" t="s">
        <v>60</v>
      </c>
      <c r="I70" s="17"/>
      <c r="J70" s="17"/>
      <c r="K70" s="17"/>
    </row>
    <row r="71" customFormat="false" ht="14.25" hidden="false" customHeight="true" outlineLevel="0" collapsed="false">
      <c r="A71" s="17" t="s">
        <v>68</v>
      </c>
      <c r="B71" s="17"/>
      <c r="C71" s="61" t="n">
        <f aca="false">'P&amp;L Input'!E8/'P&amp;L Input'!E3</f>
        <v>0.0417946239823282</v>
      </c>
      <c r="D71" s="42" t="n">
        <v>0.043795</v>
      </c>
      <c r="E71" s="42" t="n">
        <v>0.044795</v>
      </c>
      <c r="F71" s="43" t="n">
        <v>0.046795</v>
      </c>
      <c r="G71" s="42" t="n">
        <v>0.047795</v>
      </c>
      <c r="H71" s="42" t="n">
        <v>0.049795</v>
      </c>
      <c r="I71" s="17"/>
      <c r="J71" s="17"/>
      <c r="K71" s="17"/>
    </row>
    <row r="72" customFormat="false" ht="14.25" hidden="false" customHeight="true" outlineLevel="0" collapsed="false">
      <c r="A72" s="69" t="s">
        <v>38</v>
      </c>
      <c r="B72" s="17"/>
      <c r="C72" s="61" t="n">
        <f aca="false">'P&amp;L Input'!E8/'P&amp;L Input'!E3</f>
        <v>0.0417946239823282</v>
      </c>
      <c r="D72" s="42" t="n">
        <v>0.040795</v>
      </c>
      <c r="E72" s="42" t="n">
        <v>0.039795</v>
      </c>
      <c r="F72" s="43" t="n">
        <v>0.038795</v>
      </c>
      <c r="G72" s="42" t="n">
        <v>0.037795</v>
      </c>
      <c r="H72" s="42" t="n">
        <v>0.036795</v>
      </c>
      <c r="I72" s="17"/>
      <c r="J72" s="17"/>
      <c r="K72" s="17"/>
    </row>
    <row r="73" customFormat="false" ht="14.25" hidden="false" customHeight="true" outlineLevel="0" collapsed="false">
      <c r="A73" s="17" t="s">
        <v>69</v>
      </c>
      <c r="B73" s="17"/>
      <c r="C73" s="61" t="n">
        <f aca="false">'P&amp;L Input'!E8/'P&amp;L Input'!E3</f>
        <v>0.0417946239823282</v>
      </c>
      <c r="D73" s="42" t="n">
        <v>0.038795</v>
      </c>
      <c r="E73" s="42" t="n">
        <v>0.036795</v>
      </c>
      <c r="F73" s="43" t="n">
        <v>0.034795</v>
      </c>
      <c r="G73" s="42" t="n">
        <v>0.033795</v>
      </c>
      <c r="H73" s="42" t="n">
        <v>0.031795</v>
      </c>
      <c r="I73" s="17"/>
      <c r="J73" s="17"/>
      <c r="K73" s="17"/>
    </row>
    <row r="74" customFormat="false" ht="14.25" hidden="false" customHeight="true" outlineLevel="0" collapsed="false">
      <c r="A74" s="47" t="s">
        <v>70</v>
      </c>
      <c r="C74" s="45" t="n">
        <f aca="false">CHOOSE(MATCH('Model Control'!$B$3,{"Worst","Neutral","Best"},0),C71,C72,C73)</f>
        <v>0.0417946239823282</v>
      </c>
      <c r="D74" s="45" t="n">
        <f aca="false">CHOOSE(MATCH('Model Control'!$B$3,{"Worst","Neutral","Best"},0),D71,D72,D73)</f>
        <v>0.040795</v>
      </c>
      <c r="E74" s="45" t="n">
        <f aca="false">CHOOSE(MATCH('Model Control'!$B$3,{"Worst","Neutral","Best"},0),E71,E72,E73)</f>
        <v>0.039795</v>
      </c>
      <c r="F74" s="45" t="n">
        <f aca="false">CHOOSE(MATCH('Model Control'!$B$3,{"Worst","Neutral","Best"},0),F71,F72,F73)</f>
        <v>0.038795</v>
      </c>
      <c r="G74" s="45" t="n">
        <f aca="false">CHOOSE(MATCH('Model Control'!$B$3,{"Worst","Neutral","Best"},0),G71,G72,G73)</f>
        <v>0.037795</v>
      </c>
      <c r="H74" s="45" t="n">
        <f aca="false">CHOOSE(MATCH('Model Control'!$B$3,{"Worst","Neutral","Best"},0),H71,H72,H73)</f>
        <v>0.036795</v>
      </c>
      <c r="I74" s="17"/>
      <c r="J74" s="17"/>
      <c r="K74" s="17"/>
    </row>
    <row r="75" customFormat="false" ht="14.25" hidden="false" customHeight="true" outlineLevel="0" collapsed="false">
      <c r="A75" s="17"/>
      <c r="B75" s="17"/>
      <c r="C75" s="17"/>
      <c r="D75" s="17"/>
      <c r="E75" s="17"/>
      <c r="F75" s="36"/>
      <c r="G75" s="17"/>
      <c r="H75" s="17"/>
      <c r="I75" s="17"/>
      <c r="J75" s="17"/>
      <c r="K75" s="17"/>
    </row>
    <row r="76" customFormat="false" ht="14.25" hidden="false" customHeight="true" outlineLevel="0" collapsed="false">
      <c r="A76" s="39" t="s">
        <v>87</v>
      </c>
      <c r="B76" s="17"/>
      <c r="C76" s="17"/>
      <c r="D76" s="17"/>
      <c r="E76" s="17"/>
      <c r="F76" s="36"/>
      <c r="G76" s="17"/>
      <c r="H76" s="17"/>
      <c r="I76" s="17"/>
      <c r="J76" s="17"/>
      <c r="K76" s="17"/>
    </row>
    <row r="77" customFormat="false" ht="60" hidden="false" customHeight="true" outlineLevel="0" collapsed="false">
      <c r="A77" s="8" t="s">
        <v>88</v>
      </c>
      <c r="B77" s="8"/>
      <c r="C77" s="8"/>
      <c r="D77" s="8"/>
      <c r="E77" s="8"/>
      <c r="F77" s="8"/>
      <c r="G77" s="8"/>
      <c r="H77" s="8"/>
      <c r="I77" s="17"/>
      <c r="J77" s="17"/>
      <c r="K77" s="17"/>
    </row>
    <row r="78" customFormat="false" ht="14.25" hidden="false" customHeight="true" outlineLevel="0" collapsed="false">
      <c r="A78" s="47" t="s">
        <v>66</v>
      </c>
      <c r="C78" s="41" t="s">
        <v>67</v>
      </c>
      <c r="D78" s="41" t="s">
        <v>56</v>
      </c>
      <c r="E78" s="41" t="s">
        <v>57</v>
      </c>
      <c r="F78" s="41" t="s">
        <v>58</v>
      </c>
      <c r="G78" s="41" t="s">
        <v>59</v>
      </c>
      <c r="H78" s="41" t="s">
        <v>60</v>
      </c>
      <c r="I78" s="17"/>
      <c r="J78" s="17"/>
      <c r="K78" s="17"/>
    </row>
    <row r="79" customFormat="false" ht="14.25" hidden="false" customHeight="true" outlineLevel="0" collapsed="false">
      <c r="A79" s="17" t="s">
        <v>68</v>
      </c>
      <c r="B79" s="17"/>
      <c r="C79" s="61" t="n">
        <f aca="false">'Balance Sheet Input'!D8/'P&amp;L Input'!E3</f>
        <v>0.0875955303224865</v>
      </c>
      <c r="D79" s="42" t="n">
        <v>0.090596</v>
      </c>
      <c r="E79" s="42" t="n">
        <v>0.092596</v>
      </c>
      <c r="F79" s="43" t="n">
        <v>0.094596</v>
      </c>
      <c r="G79" s="42" t="n">
        <v>0.096596</v>
      </c>
      <c r="H79" s="42" t="n">
        <v>0.097596</v>
      </c>
      <c r="I79" s="17"/>
      <c r="J79" s="17"/>
      <c r="K79" s="17"/>
    </row>
    <row r="80" customFormat="false" ht="14.25" hidden="false" customHeight="true" outlineLevel="0" collapsed="false">
      <c r="A80" s="70" t="s">
        <v>38</v>
      </c>
      <c r="C80" s="61" t="n">
        <f aca="false">'Balance Sheet Input'!D8/'P&amp;L Input'!E3</f>
        <v>0.0875955303224865</v>
      </c>
      <c r="D80" s="42" t="n">
        <v>0.087596</v>
      </c>
      <c r="E80" s="42" t="n">
        <v>0.086596</v>
      </c>
      <c r="F80" s="43" t="n">
        <v>0.085596</v>
      </c>
      <c r="G80" s="42" t="n">
        <v>0.084596</v>
      </c>
      <c r="H80" s="42" t="n">
        <v>0.083596</v>
      </c>
      <c r="I80" s="17"/>
      <c r="J80" s="17"/>
      <c r="K80" s="17"/>
    </row>
    <row r="81" customFormat="false" ht="14.25" hidden="false" customHeight="true" outlineLevel="0" collapsed="false">
      <c r="A81" s="17" t="s">
        <v>69</v>
      </c>
      <c r="B81" s="17"/>
      <c r="C81" s="61" t="n">
        <f aca="false">'Balance Sheet Input'!D8/'P&amp;L Input'!E3</f>
        <v>0.0875955303224865</v>
      </c>
      <c r="D81" s="42" t="n">
        <v>0.085596</v>
      </c>
      <c r="E81" s="42" t="n">
        <v>0.083596</v>
      </c>
      <c r="F81" s="43" t="n">
        <v>0.081596</v>
      </c>
      <c r="G81" s="42" t="n">
        <v>0.079596</v>
      </c>
      <c r="H81" s="42" t="n">
        <v>0.077596</v>
      </c>
      <c r="I81" s="17"/>
      <c r="J81" s="17"/>
      <c r="K81" s="17"/>
    </row>
    <row r="82" customFormat="false" ht="14.25" hidden="false" customHeight="true" outlineLevel="0" collapsed="false">
      <c r="A82" s="39" t="s">
        <v>70</v>
      </c>
      <c r="B82" s="17"/>
      <c r="C82" s="45" t="n">
        <f aca="false">CHOOSE(MATCH('Model Control'!$B$3,{"Worst","Neutral","Best"},0),C79,C80,C81)</f>
        <v>0.0875955303224865</v>
      </c>
      <c r="D82" s="45" t="n">
        <f aca="false">CHOOSE(MATCH('Model Control'!$B$3,{"Worst","Neutral","Best"},0),D79,D80,D81)</f>
        <v>0.087596</v>
      </c>
      <c r="E82" s="45" t="n">
        <f aca="false">CHOOSE(MATCH('Model Control'!$B$3,{"Worst","Neutral","Best"},0),E79,E80,E81)</f>
        <v>0.086596</v>
      </c>
      <c r="F82" s="45" t="n">
        <f aca="false">CHOOSE(MATCH('Model Control'!$B$3,{"Worst","Neutral","Best"},0),F79,F80,F81)</f>
        <v>0.085596</v>
      </c>
      <c r="G82" s="45" t="n">
        <f aca="false">CHOOSE(MATCH('Model Control'!$B$3,{"Worst","Neutral","Best"},0),G79,G80,G81)</f>
        <v>0.084596</v>
      </c>
      <c r="H82" s="45" t="n">
        <f aca="false">CHOOSE(MATCH('Model Control'!$B$3,{"Worst","Neutral","Best"},0),H79,H80,H81)</f>
        <v>0.083596</v>
      </c>
      <c r="I82" s="17"/>
      <c r="J82" s="17"/>
      <c r="K82" s="17"/>
    </row>
    <row r="83" customFormat="false" ht="14.25" hidden="false" customHeight="true" outlineLevel="0" collapsed="false">
      <c r="A83" s="17"/>
      <c r="B83" s="17"/>
      <c r="C83" s="17"/>
      <c r="D83" s="17"/>
      <c r="E83" s="17"/>
      <c r="F83" s="36"/>
      <c r="G83" s="17"/>
      <c r="H83" s="17"/>
      <c r="I83" s="17"/>
      <c r="J83" s="17"/>
      <c r="K83" s="17"/>
    </row>
    <row r="84" customFormat="false" ht="14.25" hidden="false" customHeight="true" outlineLevel="0" collapsed="false">
      <c r="A84" s="39" t="s">
        <v>89</v>
      </c>
      <c r="B84" s="17"/>
      <c r="C84" s="35"/>
      <c r="D84" s="35"/>
      <c r="E84" s="35"/>
      <c r="F84" s="36"/>
      <c r="G84" s="17"/>
      <c r="H84" s="17"/>
      <c r="I84" s="17"/>
      <c r="J84" s="17"/>
      <c r="K84" s="17"/>
    </row>
    <row r="85" customFormat="false" ht="60" hidden="false" customHeight="true" outlineLevel="0" collapsed="false">
      <c r="A85" s="8" t="s">
        <v>90</v>
      </c>
      <c r="B85" s="8"/>
      <c r="C85" s="8"/>
      <c r="D85" s="8"/>
      <c r="E85" s="8"/>
      <c r="F85" s="8"/>
      <c r="G85" s="8"/>
      <c r="H85" s="8"/>
      <c r="I85" s="17"/>
      <c r="J85" s="17"/>
      <c r="K85" s="17"/>
    </row>
    <row r="86" customFormat="false" ht="14.25" hidden="false" customHeight="true" outlineLevel="0" collapsed="false">
      <c r="A86" s="39" t="s">
        <v>66</v>
      </c>
      <c r="B86" s="17"/>
      <c r="C86" s="40" t="s">
        <v>67</v>
      </c>
      <c r="D86" s="40" t="s">
        <v>56</v>
      </c>
      <c r="E86" s="40" t="s">
        <v>57</v>
      </c>
      <c r="F86" s="41" t="s">
        <v>58</v>
      </c>
      <c r="G86" s="41" t="s">
        <v>59</v>
      </c>
      <c r="H86" s="41" t="s">
        <v>60</v>
      </c>
      <c r="I86" s="17"/>
      <c r="J86" s="17"/>
      <c r="K86" s="17"/>
    </row>
    <row r="87" customFormat="false" ht="14.25" hidden="false" customHeight="true" outlineLevel="0" collapsed="false">
      <c r="A87" s="35" t="s">
        <v>68</v>
      </c>
      <c r="B87" s="17"/>
      <c r="C87" s="71" t="n">
        <v>14.1</v>
      </c>
      <c r="D87" s="71" t="n">
        <v>13.8</v>
      </c>
      <c r="E87" s="71" t="n">
        <v>13.5</v>
      </c>
      <c r="F87" s="72" t="n">
        <v>13.2</v>
      </c>
      <c r="G87" s="73" t="n">
        <v>13</v>
      </c>
      <c r="H87" s="73" t="n">
        <v>12.8</v>
      </c>
      <c r="I87" s="17"/>
      <c r="J87" s="17"/>
      <c r="K87" s="17"/>
    </row>
    <row r="88" customFormat="false" ht="14.25" hidden="false" customHeight="true" outlineLevel="0" collapsed="false">
      <c r="A88" s="35" t="s">
        <v>38</v>
      </c>
      <c r="B88" s="17"/>
      <c r="C88" s="71" t="n">
        <v>14.1</v>
      </c>
      <c r="D88" s="71" t="n">
        <v>14.2</v>
      </c>
      <c r="E88" s="71" t="n">
        <v>14.3</v>
      </c>
      <c r="F88" s="72" t="n">
        <v>14.4</v>
      </c>
      <c r="G88" s="73" t="n">
        <v>14.5</v>
      </c>
      <c r="H88" s="73" t="n">
        <v>14.5</v>
      </c>
      <c r="I88" s="17"/>
      <c r="J88" s="17"/>
      <c r="K88" s="17"/>
    </row>
    <row r="89" customFormat="false" ht="14.25" hidden="false" customHeight="true" outlineLevel="0" collapsed="false">
      <c r="A89" s="35" t="s">
        <v>69</v>
      </c>
      <c r="B89" s="17"/>
      <c r="C89" s="71" t="n">
        <v>14.1</v>
      </c>
      <c r="D89" s="71" t="n">
        <v>14.5</v>
      </c>
      <c r="E89" s="71" t="n">
        <v>14.8</v>
      </c>
      <c r="F89" s="72" t="n">
        <v>15</v>
      </c>
      <c r="G89" s="73" t="n">
        <v>15.2</v>
      </c>
      <c r="H89" s="73" t="n">
        <v>15.5</v>
      </c>
      <c r="I89" s="17"/>
      <c r="J89" s="17"/>
      <c r="K89" s="17"/>
    </row>
    <row r="90" customFormat="false" ht="14.25" hidden="false" customHeight="true" outlineLevel="0" collapsed="false">
      <c r="A90" s="39" t="s">
        <v>70</v>
      </c>
      <c r="B90" s="17"/>
      <c r="C90" s="74" t="n">
        <f aca="false">CHOOSE(MATCH('Model Control'!$B$3,{"Worst","Neutral","Best"},0),C87,C88,C89)</f>
        <v>14.1</v>
      </c>
      <c r="D90" s="74" t="n">
        <f aca="false">CHOOSE(MATCH('Model Control'!$B$3,{"Worst","Neutral","Best"},0),D87,D88,D89)</f>
        <v>14.2</v>
      </c>
      <c r="E90" s="74" t="n">
        <f aca="false">CHOOSE(MATCH('Model Control'!$B$3,{"Worst","Neutral","Best"},0),E87,E88,E89)</f>
        <v>14.3</v>
      </c>
      <c r="F90" s="75" t="n">
        <f aca="false">CHOOSE(MATCH('Model Control'!$B$3,{"Worst","Neutral","Best"},0),F87,F88,F89)</f>
        <v>14.4</v>
      </c>
      <c r="G90" s="75" t="n">
        <f aca="false">CHOOSE(MATCH('Model Control'!$B$3,{"Worst","Neutral","Best"},0),G87,G88,G89)</f>
        <v>14.5</v>
      </c>
      <c r="H90" s="75" t="n">
        <f aca="false">CHOOSE(MATCH('Model Control'!$B$3,{"Worst","Neutral","Best"},0),H87,H88,H89)</f>
        <v>14.5</v>
      </c>
      <c r="I90" s="17"/>
      <c r="J90" s="17"/>
      <c r="K90" s="17"/>
    </row>
    <row r="91" customFormat="false" ht="14.25" hidden="false" customHeight="true" outlineLevel="0" collapsed="false">
      <c r="A91" s="57"/>
      <c r="B91" s="57"/>
      <c r="C91" s="57"/>
      <c r="D91" s="57"/>
      <c r="E91" s="57"/>
      <c r="F91" s="36"/>
      <c r="G91" s="17"/>
      <c r="H91" s="17"/>
      <c r="I91" s="17"/>
      <c r="J91" s="17"/>
      <c r="K91" s="17"/>
    </row>
    <row r="92" customFormat="false" ht="14.25" hidden="false" customHeight="true" outlineLevel="0" collapsed="false">
      <c r="A92" s="19" t="s">
        <v>91</v>
      </c>
      <c r="B92" s="17"/>
      <c r="C92" s="17"/>
      <c r="D92" s="17"/>
      <c r="E92" s="17"/>
      <c r="F92" s="36"/>
      <c r="G92" s="17"/>
      <c r="H92" s="17"/>
      <c r="I92" s="17"/>
      <c r="J92" s="17"/>
      <c r="K92" s="17"/>
    </row>
    <row r="93" customFormat="false" ht="60" hidden="false" customHeight="true" outlineLevel="0" collapsed="false">
      <c r="A93" s="8" t="s">
        <v>92</v>
      </c>
      <c r="B93" s="8"/>
      <c r="C93" s="8"/>
      <c r="D93" s="8"/>
      <c r="E93" s="8"/>
      <c r="F93" s="8"/>
      <c r="G93" s="8"/>
      <c r="H93" s="8"/>
      <c r="I93" s="17"/>
      <c r="J93" s="17"/>
      <c r="K93" s="17"/>
    </row>
    <row r="94" customFormat="false" ht="30" hidden="false" customHeight="true" outlineLevel="0" collapsed="false">
      <c r="A94" s="76" t="s">
        <v>66</v>
      </c>
      <c r="C94" s="41" t="s">
        <v>67</v>
      </c>
      <c r="D94" s="41" t="s">
        <v>56</v>
      </c>
      <c r="E94" s="41" t="s">
        <v>57</v>
      </c>
      <c r="F94" s="41" t="s">
        <v>58</v>
      </c>
      <c r="G94" s="41" t="s">
        <v>59</v>
      </c>
      <c r="H94" s="41" t="s">
        <v>60</v>
      </c>
      <c r="I94" s="17"/>
      <c r="J94" s="17"/>
      <c r="K94" s="17"/>
    </row>
    <row r="95" customFormat="false" ht="14.25" hidden="false" customHeight="true" outlineLevel="0" collapsed="false">
      <c r="A95" s="17" t="s">
        <v>68</v>
      </c>
      <c r="B95" s="17"/>
      <c r="C95" s="61" t="n">
        <f aca="false">'Balance Sheet Input'!D19/'P&amp;L Input'!E3</f>
        <v>0.0712849176403286</v>
      </c>
      <c r="D95" s="42" t="n">
        <v>0.074285</v>
      </c>
      <c r="E95" s="42" t="n">
        <v>0.076285</v>
      </c>
      <c r="F95" s="43" t="n">
        <v>0.078285</v>
      </c>
      <c r="G95" s="42" t="n">
        <v>0.080285</v>
      </c>
      <c r="H95" s="42" t="n">
        <v>0.081285</v>
      </c>
      <c r="I95" s="17"/>
      <c r="J95" s="17"/>
      <c r="K95" s="17"/>
    </row>
    <row r="96" customFormat="false" ht="28.5" hidden="false" customHeight="true" outlineLevel="0" collapsed="false">
      <c r="A96" s="51" t="s">
        <v>38</v>
      </c>
      <c r="C96" s="61" t="n">
        <f aca="false">'Balance Sheet Input'!D19/'P&amp;L Input'!E3</f>
        <v>0.0712849176403286</v>
      </c>
      <c r="D96" s="42" t="n">
        <v>0.070285</v>
      </c>
      <c r="E96" s="42" t="n">
        <v>0.069285</v>
      </c>
      <c r="F96" s="43" t="n">
        <v>0.068285</v>
      </c>
      <c r="G96" s="42" t="n">
        <v>0.067285</v>
      </c>
      <c r="H96" s="42" t="n">
        <v>0.066285</v>
      </c>
      <c r="I96" s="17"/>
      <c r="J96" s="17"/>
      <c r="K96" s="17"/>
    </row>
    <row r="97" customFormat="false" ht="14.25" hidden="false" customHeight="true" outlineLevel="0" collapsed="false">
      <c r="A97" s="17" t="s">
        <v>69</v>
      </c>
      <c r="B97" s="17"/>
      <c r="C97" s="61" t="n">
        <f aca="false">'Balance Sheet Input'!D19/'P&amp;L Input'!E3</f>
        <v>0.0712849176403286</v>
      </c>
      <c r="D97" s="42" t="n">
        <v>0.068285</v>
      </c>
      <c r="E97" s="42" t="n">
        <v>0.066285</v>
      </c>
      <c r="F97" s="43" t="n">
        <v>0.064285</v>
      </c>
      <c r="G97" s="42" t="n">
        <v>0.062285</v>
      </c>
      <c r="H97" s="42" t="n">
        <v>0.061285</v>
      </c>
      <c r="I97" s="17"/>
      <c r="J97" s="17"/>
      <c r="K97" s="17"/>
    </row>
    <row r="98" customFormat="false" ht="14.25" hidden="false" customHeight="true" outlineLevel="0" collapsed="false">
      <c r="A98" s="39" t="s">
        <v>70</v>
      </c>
      <c r="B98" s="17"/>
      <c r="C98" s="45" t="n">
        <f aca="false">CHOOSE(MATCH('Model Control'!$B$3,{"Worst","Neutral","Best"},0),C95,C96,C97)</f>
        <v>0.0712849176403286</v>
      </c>
      <c r="D98" s="45" t="n">
        <f aca="false">CHOOSE(MATCH('Model Control'!$B$3,{"Worst","Neutral","Best"},0),D95,D96,D97)</f>
        <v>0.070285</v>
      </c>
      <c r="E98" s="45" t="n">
        <f aca="false">CHOOSE(MATCH('Model Control'!$B$3,{"Worst","Neutral","Best"},0),E95,E96,E97)</f>
        <v>0.069285</v>
      </c>
      <c r="F98" s="45" t="n">
        <f aca="false">CHOOSE(MATCH('Model Control'!$B$3,{"Worst","Neutral","Best"},0),F95,F96,F97)</f>
        <v>0.068285</v>
      </c>
      <c r="G98" s="45" t="n">
        <f aca="false">CHOOSE(MATCH('Model Control'!$B$3,{"Worst","Neutral","Best"},0),G95,G96,G97)</f>
        <v>0.067285</v>
      </c>
      <c r="H98" s="45" t="n">
        <f aca="false">CHOOSE(MATCH('Model Control'!$B$3,{"Worst","Neutral","Best"},0),H95,H96,H97)</f>
        <v>0.066285</v>
      </c>
      <c r="I98" s="17"/>
      <c r="J98" s="17"/>
      <c r="K98" s="17"/>
    </row>
    <row r="99" customFormat="false" ht="14.25" hidden="false" customHeight="true" outlineLevel="0" collapsed="false">
      <c r="A99" s="17"/>
      <c r="B99" s="17"/>
      <c r="C99" s="17"/>
      <c r="D99" s="17"/>
      <c r="E99" s="17"/>
      <c r="F99" s="36"/>
      <c r="G99" s="17"/>
      <c r="H99" s="17"/>
      <c r="I99" s="17"/>
      <c r="J99" s="17"/>
      <c r="K99" s="17"/>
    </row>
    <row r="100" customFormat="false" ht="14.25" hidden="false" customHeight="true" outlineLevel="0" collapsed="false">
      <c r="A100" s="39" t="s">
        <v>93</v>
      </c>
      <c r="B100" s="17"/>
      <c r="C100" s="35"/>
      <c r="D100" s="35"/>
      <c r="E100" s="35"/>
      <c r="F100" s="36"/>
      <c r="G100" s="17"/>
      <c r="H100" s="17"/>
      <c r="I100" s="17"/>
      <c r="J100" s="17"/>
      <c r="K100" s="17"/>
    </row>
    <row r="101" customFormat="false" ht="60" hidden="false" customHeight="true" outlineLevel="0" collapsed="false">
      <c r="A101" s="8" t="s">
        <v>94</v>
      </c>
      <c r="B101" s="8"/>
      <c r="C101" s="8"/>
      <c r="D101" s="8"/>
      <c r="E101" s="8"/>
      <c r="F101" s="8"/>
      <c r="G101" s="8"/>
      <c r="H101" s="8"/>
      <c r="I101" s="17"/>
      <c r="J101" s="17"/>
      <c r="K101" s="17"/>
    </row>
    <row r="102" customFormat="false" ht="14.25" hidden="false" customHeight="true" outlineLevel="0" collapsed="false">
      <c r="A102" s="39" t="s">
        <v>66</v>
      </c>
      <c r="B102" s="17"/>
      <c r="C102" s="40" t="s">
        <v>67</v>
      </c>
      <c r="D102" s="40" t="s">
        <v>56</v>
      </c>
      <c r="E102" s="40" t="s">
        <v>57</v>
      </c>
      <c r="F102" s="41" t="s">
        <v>58</v>
      </c>
      <c r="G102" s="41" t="s">
        <v>59</v>
      </c>
      <c r="H102" s="41" t="s">
        <v>60</v>
      </c>
      <c r="I102" s="17"/>
      <c r="J102" s="17"/>
      <c r="K102" s="17"/>
    </row>
    <row r="103" customFormat="false" ht="14.25" hidden="false" customHeight="true" outlineLevel="0" collapsed="false">
      <c r="A103" s="35" t="s">
        <v>68</v>
      </c>
      <c r="B103" s="17"/>
      <c r="C103" s="59" t="n">
        <f aca="false">'Balance Sheet Input'!D20/'P&amp;L Input'!E3</f>
        <v>0.0393008119241921</v>
      </c>
      <c r="D103" s="56" t="n">
        <v>0.041301</v>
      </c>
      <c r="E103" s="56" t="n">
        <v>0.042301</v>
      </c>
      <c r="F103" s="43" t="n">
        <v>0.044301</v>
      </c>
      <c r="G103" s="42" t="n">
        <v>0.045301</v>
      </c>
      <c r="H103" s="42" t="n">
        <v>0.047301</v>
      </c>
      <c r="I103" s="17"/>
      <c r="J103" s="17"/>
      <c r="K103" s="17"/>
    </row>
    <row r="104" customFormat="false" ht="14.25" hidden="false" customHeight="true" outlineLevel="0" collapsed="false">
      <c r="A104" s="35" t="s">
        <v>38</v>
      </c>
      <c r="B104" s="17"/>
      <c r="C104" s="59" t="n">
        <f aca="false">'Balance Sheet Input'!D20/'P&amp;L Input'!E3</f>
        <v>0.0393008119241921</v>
      </c>
      <c r="D104" s="56" t="n">
        <v>0.039301</v>
      </c>
      <c r="E104" s="56" t="n">
        <v>0.039301</v>
      </c>
      <c r="F104" s="43" t="n">
        <v>0.038301</v>
      </c>
      <c r="G104" s="42" t="n">
        <v>0.038301</v>
      </c>
      <c r="H104" s="42" t="n">
        <v>0.037301</v>
      </c>
      <c r="I104" s="17"/>
      <c r="J104" s="17"/>
      <c r="K104" s="17"/>
    </row>
    <row r="105" customFormat="false" ht="14.25" hidden="false" customHeight="true" outlineLevel="0" collapsed="false">
      <c r="A105" s="35" t="s">
        <v>69</v>
      </c>
      <c r="B105" s="17"/>
      <c r="C105" s="59" t="n">
        <f aca="false">'Balance Sheet Input'!D20/'P&amp;L Input'!E3</f>
        <v>0.0393008119241921</v>
      </c>
      <c r="D105" s="56" t="n">
        <v>0.038301</v>
      </c>
      <c r="E105" s="56" t="n">
        <v>0.037301</v>
      </c>
      <c r="F105" s="43" t="n">
        <v>0.036301</v>
      </c>
      <c r="G105" s="42" t="n">
        <v>0.035301</v>
      </c>
      <c r="H105" s="42" t="n">
        <v>0.034301</v>
      </c>
      <c r="I105" s="17"/>
      <c r="J105" s="17"/>
      <c r="K105" s="17"/>
    </row>
    <row r="106" customFormat="false" ht="14.25" hidden="false" customHeight="true" outlineLevel="0" collapsed="false">
      <c r="A106" s="39" t="s">
        <v>70</v>
      </c>
      <c r="B106" s="17"/>
      <c r="C106" s="53" t="n">
        <f aca="false">CHOOSE(MATCH('Model Control'!$B$3,{"Worst","Neutral","Best"},0),C103,C104,C105)</f>
        <v>0.0393008119241921</v>
      </c>
      <c r="D106" s="53" t="n">
        <f aca="false">CHOOSE(MATCH('Model Control'!$B$3,{"Worst","Neutral","Best"},0),D103,D104,D105)</f>
        <v>0.039301</v>
      </c>
      <c r="E106" s="53" t="n">
        <f aca="false">CHOOSE(MATCH('Model Control'!$B$3,{"Worst","Neutral","Best"},0),E103,E104,E105)</f>
        <v>0.039301</v>
      </c>
      <c r="F106" s="45" t="n">
        <f aca="false">CHOOSE(MATCH('Model Control'!$B$3,{"Worst","Neutral","Best"},0),F103,F104,F105)</f>
        <v>0.038301</v>
      </c>
      <c r="G106" s="45" t="n">
        <f aca="false">CHOOSE(MATCH('Model Control'!$B$3,{"Worst","Neutral","Best"},0),G103,G104,G105)</f>
        <v>0.038301</v>
      </c>
      <c r="H106" s="45" t="n">
        <f aca="false">CHOOSE(MATCH('Model Control'!$B$3,{"Worst","Neutral","Best"},0),H103,H104,H105)</f>
        <v>0.037301</v>
      </c>
      <c r="I106" s="17"/>
      <c r="J106" s="17"/>
      <c r="K106" s="17"/>
    </row>
    <row r="107" customFormat="false" ht="14.25" hidden="false" customHeight="true" outlineLevel="0" collapsed="false">
      <c r="A107" s="57"/>
      <c r="B107" s="57"/>
      <c r="C107" s="57"/>
      <c r="D107" s="57"/>
      <c r="E107" s="57"/>
      <c r="F107" s="36"/>
      <c r="G107" s="17"/>
      <c r="H107" s="17"/>
      <c r="I107" s="17"/>
      <c r="J107" s="17"/>
      <c r="K107" s="17"/>
    </row>
    <row r="108" customFormat="false" ht="14.25" hidden="false" customHeight="true" outlineLevel="0" collapsed="false">
      <c r="A108" s="19" t="s">
        <v>95</v>
      </c>
      <c r="B108" s="17"/>
      <c r="C108" s="17"/>
      <c r="D108" s="17"/>
      <c r="E108" s="17"/>
      <c r="F108" s="36"/>
      <c r="G108" s="17"/>
      <c r="H108" s="17"/>
      <c r="I108" s="17"/>
      <c r="J108" s="17"/>
      <c r="K108" s="17"/>
    </row>
    <row r="109" customFormat="false" ht="60" hidden="false" customHeight="true" outlineLevel="0" collapsed="false">
      <c r="A109" s="8" t="s">
        <v>96</v>
      </c>
      <c r="B109" s="8"/>
      <c r="C109" s="8"/>
      <c r="D109" s="8"/>
      <c r="E109" s="8"/>
      <c r="F109" s="8"/>
      <c r="G109" s="8"/>
      <c r="H109" s="8"/>
      <c r="I109" s="17"/>
      <c r="J109" s="17"/>
      <c r="K109" s="17"/>
    </row>
    <row r="110" customFormat="false" ht="26.25" hidden="false" customHeight="true" outlineLevel="0" collapsed="false">
      <c r="A110" s="76" t="s">
        <v>66</v>
      </c>
      <c r="C110" s="41" t="s">
        <v>67</v>
      </c>
      <c r="D110" s="41" t="s">
        <v>56</v>
      </c>
      <c r="E110" s="41" t="s">
        <v>57</v>
      </c>
      <c r="F110" s="41" t="s">
        <v>58</v>
      </c>
      <c r="G110" s="41" t="s">
        <v>59</v>
      </c>
      <c r="H110" s="41" t="s">
        <v>60</v>
      </c>
      <c r="I110" s="17"/>
      <c r="J110" s="17"/>
      <c r="K110" s="17"/>
    </row>
    <row r="111" customFormat="false" ht="14.25" hidden="false" customHeight="true" outlineLevel="0" collapsed="false">
      <c r="A111" s="17" t="s">
        <v>68</v>
      </c>
      <c r="B111" s="17"/>
      <c r="C111" s="77" t="n">
        <v>172459</v>
      </c>
      <c r="D111" s="77" t="n">
        <v>-75000</v>
      </c>
      <c r="E111" s="77" t="n">
        <v>-50000</v>
      </c>
      <c r="F111" s="78" t="n">
        <v>-25000</v>
      </c>
      <c r="G111" s="77" t="n">
        <v>0</v>
      </c>
      <c r="H111" s="77" t="n">
        <v>25000</v>
      </c>
      <c r="I111" s="17"/>
      <c r="J111" s="17"/>
      <c r="K111" s="17"/>
    </row>
    <row r="112" customFormat="false" ht="25.5" hidden="false" customHeight="true" outlineLevel="0" collapsed="false">
      <c r="A112" s="51" t="s">
        <v>38</v>
      </c>
      <c r="C112" s="77" t="n">
        <v>172459</v>
      </c>
      <c r="D112" s="77" t="n">
        <v>50000</v>
      </c>
      <c r="E112" s="77" t="n">
        <v>75000</v>
      </c>
      <c r="F112" s="78" t="n">
        <v>100000</v>
      </c>
      <c r="G112" s="77" t="n">
        <v>100000</v>
      </c>
      <c r="H112" s="77" t="n">
        <v>125000</v>
      </c>
      <c r="I112" s="17"/>
      <c r="J112" s="17"/>
      <c r="K112" s="17"/>
    </row>
    <row r="113" customFormat="false" ht="14.25" hidden="false" customHeight="true" outlineLevel="0" collapsed="false">
      <c r="A113" s="17" t="s">
        <v>69</v>
      </c>
      <c r="B113" s="17"/>
      <c r="C113" s="77" t="n">
        <v>172459</v>
      </c>
      <c r="D113" s="77" t="n">
        <v>150000</v>
      </c>
      <c r="E113" s="77" t="n">
        <v>175000</v>
      </c>
      <c r="F113" s="78" t="n">
        <v>200000</v>
      </c>
      <c r="G113" s="77" t="n">
        <v>225000</v>
      </c>
      <c r="H113" s="77" t="n">
        <v>250000</v>
      </c>
      <c r="I113" s="17"/>
      <c r="J113" s="17"/>
      <c r="K113" s="17"/>
    </row>
    <row r="114" customFormat="false" ht="14.25" hidden="false" customHeight="true" outlineLevel="0" collapsed="false">
      <c r="A114" s="39" t="s">
        <v>70</v>
      </c>
      <c r="B114" s="17"/>
      <c r="C114" s="79" t="n">
        <f aca="false">CHOOSE(MATCH('Model Control'!$B$3,{"Worst","Neutral","Best"},0),C111,C112,C113)</f>
        <v>172459</v>
      </c>
      <c r="D114" s="79" t="n">
        <f aca="false">CHOOSE(MATCH('Model Control'!$B$3,{"Worst","Neutral","Best"},0),D111,D112,D113)</f>
        <v>50000</v>
      </c>
      <c r="E114" s="79" t="n">
        <f aca="false">CHOOSE(MATCH('Model Control'!$B$3,{"Worst","Neutral","Best"},0),E111,E112,E113)</f>
        <v>75000</v>
      </c>
      <c r="F114" s="79" t="n">
        <f aca="false">CHOOSE(MATCH('Model Control'!$B$3,{"Worst","Neutral","Best"},0),F111,F112,F113)</f>
        <v>100000</v>
      </c>
      <c r="G114" s="79" t="n">
        <f aca="false">CHOOSE(MATCH('Model Control'!$B$3,{"Worst","Neutral","Best"},0),G111,G112,G113)</f>
        <v>100000</v>
      </c>
      <c r="H114" s="79" t="n">
        <f aca="false">CHOOSE(MATCH('Model Control'!$B$3,{"Worst","Neutral","Best"},0),H111,H112,H113)</f>
        <v>125000</v>
      </c>
      <c r="I114" s="17"/>
      <c r="J114" s="17"/>
      <c r="K114" s="17"/>
    </row>
    <row r="115" customFormat="false" ht="14.25" hidden="false" customHeight="true" outlineLevel="0" collapsed="false">
      <c r="A115" s="17"/>
      <c r="B115" s="17"/>
      <c r="C115" s="17"/>
      <c r="D115" s="17"/>
      <c r="E115" s="17"/>
      <c r="F115" s="36"/>
      <c r="G115" s="17"/>
      <c r="H115" s="17"/>
      <c r="I115" s="17"/>
      <c r="J115" s="17"/>
      <c r="K115" s="17"/>
    </row>
    <row r="116" customFormat="false" ht="14.25" hidden="false" customHeight="true" outlineLevel="0" collapsed="false">
      <c r="A116" s="39" t="s">
        <v>97</v>
      </c>
      <c r="B116" s="17"/>
      <c r="C116" s="35"/>
      <c r="D116" s="35"/>
      <c r="E116" s="35"/>
      <c r="F116" s="36"/>
      <c r="G116" s="17"/>
      <c r="H116" s="17"/>
      <c r="I116" s="17"/>
      <c r="J116" s="17"/>
      <c r="K116" s="17"/>
    </row>
    <row r="117" customFormat="false" ht="60" hidden="false" customHeight="true" outlineLevel="0" collapsed="false">
      <c r="A117" s="8" t="s">
        <v>98</v>
      </c>
      <c r="B117" s="8"/>
      <c r="C117" s="8"/>
      <c r="D117" s="8"/>
      <c r="E117" s="8"/>
      <c r="F117" s="8"/>
      <c r="G117" s="8"/>
      <c r="H117" s="8"/>
      <c r="I117" s="17"/>
      <c r="J117" s="17"/>
      <c r="K117" s="17"/>
    </row>
    <row r="118" customFormat="false" ht="14.25" hidden="false" customHeight="true" outlineLevel="0" collapsed="false">
      <c r="A118" s="39" t="s">
        <v>66</v>
      </c>
      <c r="B118" s="17"/>
      <c r="C118" s="80" t="s">
        <v>67</v>
      </c>
      <c r="D118" s="80" t="s">
        <v>56</v>
      </c>
      <c r="E118" s="80" t="s">
        <v>57</v>
      </c>
      <c r="F118" s="41" t="s">
        <v>58</v>
      </c>
      <c r="G118" s="41" t="s">
        <v>59</v>
      </c>
      <c r="H118" s="41" t="s">
        <v>60</v>
      </c>
      <c r="I118" s="17"/>
      <c r="J118" s="17"/>
      <c r="K118" s="17"/>
    </row>
    <row r="119" customFormat="false" ht="14.25" hidden="false" customHeight="true" outlineLevel="0" collapsed="false">
      <c r="A119" s="35" t="s">
        <v>68</v>
      </c>
      <c r="B119" s="17"/>
      <c r="C119" s="59" t="n">
        <f aca="false">'P&amp;L Input'!E14/-'P&amp;L Input'!E13</f>
        <v>0.136871203198855</v>
      </c>
      <c r="D119" s="56" t="n">
        <v>0.146871</v>
      </c>
      <c r="E119" s="56" t="n">
        <v>0.151871</v>
      </c>
      <c r="F119" s="43" t="n">
        <v>0.156871</v>
      </c>
      <c r="G119" s="42" t="n">
        <v>0.161871</v>
      </c>
      <c r="H119" s="42" t="n">
        <v>0.166871</v>
      </c>
      <c r="I119" s="17"/>
      <c r="J119" s="17"/>
      <c r="K119" s="17"/>
    </row>
    <row r="120" customFormat="false" ht="14.25" hidden="false" customHeight="true" outlineLevel="0" collapsed="false">
      <c r="A120" s="35" t="s">
        <v>38</v>
      </c>
      <c r="B120" s="17"/>
      <c r="C120" s="59" t="n">
        <f aca="false">'P&amp;L Input'!E14/-'P&amp;L Input'!E13</f>
        <v>0.136871203198855</v>
      </c>
      <c r="D120" s="56" t="n">
        <v>0.136871</v>
      </c>
      <c r="E120" s="56" t="n">
        <v>0.136871</v>
      </c>
      <c r="F120" s="43" t="n">
        <v>0.136871</v>
      </c>
      <c r="G120" s="42" t="n">
        <v>0.136871</v>
      </c>
      <c r="H120" s="42" t="n">
        <v>0.136871</v>
      </c>
      <c r="I120" s="17"/>
      <c r="J120" s="17"/>
      <c r="K120" s="17"/>
    </row>
    <row r="121" customFormat="false" ht="14.25" hidden="false" customHeight="true" outlineLevel="0" collapsed="false">
      <c r="A121" s="35" t="s">
        <v>69</v>
      </c>
      <c r="B121" s="17"/>
      <c r="C121" s="59" t="n">
        <f aca="false">'P&amp;L Input'!E14/-'P&amp;L Input'!E13</f>
        <v>0.136871203198855</v>
      </c>
      <c r="D121" s="56" t="n">
        <v>0.131871</v>
      </c>
      <c r="E121" s="56" t="n">
        <v>0.129871</v>
      </c>
      <c r="F121" s="43" t="n">
        <v>0.126871</v>
      </c>
      <c r="G121" s="42" t="n">
        <v>0.124871</v>
      </c>
      <c r="H121" s="42" t="n">
        <v>0.121871</v>
      </c>
      <c r="I121" s="17"/>
      <c r="J121" s="17"/>
      <c r="K121" s="17"/>
    </row>
    <row r="122" customFormat="false" ht="14.25" hidden="false" customHeight="true" outlineLevel="0" collapsed="false">
      <c r="A122" s="39" t="s">
        <v>70</v>
      </c>
      <c r="B122" s="17"/>
      <c r="C122" s="53" t="n">
        <f aca="false">CHOOSE(MATCH('Model Control'!$B$3,{"Worst","Neutral","Best"},0),C119,C120,C121)</f>
        <v>0.136871203198855</v>
      </c>
      <c r="D122" s="53" t="n">
        <f aca="false">CHOOSE(MATCH('Model Control'!$B$3,{"Worst","Neutral","Best"},0),D119,D120,D121)</f>
        <v>0.136871</v>
      </c>
      <c r="E122" s="53" t="n">
        <f aca="false">CHOOSE(MATCH('Model Control'!$B$3,{"Worst","Neutral","Best"},0),E119,E120,E121)</f>
        <v>0.136871</v>
      </c>
      <c r="F122" s="45" t="n">
        <f aca="false">CHOOSE(MATCH('Model Control'!$B$3,{"Worst","Neutral","Best"},0),F119,F120,F121)</f>
        <v>0.136871</v>
      </c>
      <c r="G122" s="45" t="n">
        <f aca="false">CHOOSE(MATCH('Model Control'!$B$3,{"Worst","Neutral","Best"},0),G119,G120,G121)</f>
        <v>0.136871</v>
      </c>
      <c r="H122" s="45" t="n">
        <f aca="false">CHOOSE(MATCH('Model Control'!$B$3,{"Worst","Neutral","Best"},0),H119,H120,H121)</f>
        <v>0.136871</v>
      </c>
      <c r="I122" s="17"/>
      <c r="J122" s="17"/>
      <c r="K122" s="17"/>
    </row>
    <row r="123" customFormat="false" ht="14.25" hidden="false" customHeight="true" outlineLevel="0" collapsed="false">
      <c r="A123" s="57"/>
      <c r="B123" s="57"/>
      <c r="C123" s="57"/>
      <c r="D123" s="57"/>
      <c r="E123" s="57"/>
      <c r="F123" s="36"/>
      <c r="G123" s="17"/>
      <c r="H123" s="17"/>
      <c r="I123" s="17"/>
      <c r="J123" s="17"/>
      <c r="K123" s="17"/>
    </row>
    <row r="124" customFormat="false" ht="14.25" hidden="false" customHeight="true" outlineLevel="0" collapsed="false">
      <c r="A124" s="17"/>
      <c r="B124" s="17"/>
      <c r="C124" s="17"/>
      <c r="D124" s="17"/>
      <c r="E124" s="17"/>
      <c r="F124" s="36"/>
      <c r="G124" s="17"/>
      <c r="H124" s="17"/>
      <c r="I124" s="17"/>
      <c r="J124" s="17"/>
      <c r="K124" s="17"/>
    </row>
    <row r="125" customFormat="false" ht="14.25" hidden="false" customHeight="true" outlineLevel="0" collapsed="false">
      <c r="A125" s="81" t="s">
        <v>99</v>
      </c>
      <c r="B125" s="17"/>
      <c r="C125" s="17"/>
      <c r="D125" s="17"/>
      <c r="E125" s="17"/>
      <c r="F125" s="36"/>
      <c r="G125" s="17"/>
      <c r="H125" s="17"/>
      <c r="I125" s="17"/>
      <c r="J125" s="17"/>
      <c r="K125" s="17"/>
    </row>
    <row r="126" customFormat="false" ht="14.25" hidden="false" customHeight="true" outlineLevel="0" collapsed="false">
      <c r="A126" s="82" t="s">
        <v>100</v>
      </c>
      <c r="B126" s="17"/>
      <c r="C126" s="17"/>
      <c r="D126" s="17"/>
      <c r="E126" s="17"/>
      <c r="F126" s="36"/>
      <c r="G126" s="17"/>
      <c r="H126" s="17"/>
      <c r="I126" s="17"/>
      <c r="J126" s="17"/>
      <c r="K126" s="17"/>
    </row>
    <row r="127" customFormat="false" ht="28.5" hidden="false" customHeight="true" outlineLevel="0" collapsed="false">
      <c r="A127" s="83" t="s">
        <v>101</v>
      </c>
      <c r="F127" s="36"/>
      <c r="G127" s="17"/>
      <c r="H127" s="17"/>
      <c r="I127" s="17"/>
      <c r="J127" s="17"/>
      <c r="K127" s="17"/>
    </row>
    <row r="128" customFormat="false" ht="14.25" hidden="false" customHeight="true" outlineLevel="0" collapsed="false">
      <c r="A128" s="82" t="s">
        <v>102</v>
      </c>
      <c r="B128" s="17"/>
      <c r="C128" s="17"/>
      <c r="D128" s="17"/>
      <c r="E128" s="17"/>
      <c r="F128" s="36"/>
      <c r="G128" s="17"/>
      <c r="H128" s="17"/>
      <c r="I128" s="17"/>
      <c r="J128" s="17"/>
      <c r="K128" s="17"/>
    </row>
    <row r="129" customFormat="false" ht="40.5" hidden="false" customHeight="true" outlineLevel="0" collapsed="false">
      <c r="A129" s="83" t="s">
        <v>103</v>
      </c>
      <c r="F129" s="36"/>
      <c r="G129" s="17"/>
      <c r="H129" s="17"/>
      <c r="I129" s="17"/>
      <c r="J129" s="17"/>
      <c r="K129" s="17"/>
    </row>
    <row r="130" customFormat="false" ht="14.25" hidden="false" customHeight="true" outlineLevel="0" collapsed="false">
      <c r="A130" s="82" t="s">
        <v>104</v>
      </c>
      <c r="B130" s="17"/>
      <c r="C130" s="17"/>
      <c r="D130" s="17"/>
      <c r="E130" s="17"/>
      <c r="F130" s="36"/>
      <c r="G130" s="17"/>
      <c r="H130" s="17"/>
      <c r="I130" s="17"/>
      <c r="J130" s="17"/>
      <c r="K130" s="17"/>
    </row>
    <row r="131" customFormat="false" ht="14.25" hidden="false" customHeight="true" outlineLevel="0" collapsed="false">
      <c r="A131" s="84" t="s">
        <v>105</v>
      </c>
      <c r="B131" s="17"/>
      <c r="C131" s="17"/>
      <c r="D131" s="17"/>
      <c r="E131" s="17"/>
      <c r="F131" s="36"/>
      <c r="G131" s="17"/>
      <c r="H131" s="17"/>
      <c r="I131" s="17"/>
      <c r="J131" s="17"/>
      <c r="K131" s="17"/>
    </row>
    <row r="132" customFormat="false" ht="14.25" hidden="false" customHeight="true" outlineLevel="0" collapsed="false">
      <c r="A132" s="82" t="s">
        <v>106</v>
      </c>
      <c r="B132" s="17"/>
      <c r="C132" s="17"/>
      <c r="D132" s="17"/>
      <c r="E132" s="17"/>
      <c r="F132" s="36"/>
      <c r="G132" s="17"/>
      <c r="H132" s="17"/>
      <c r="I132" s="17"/>
      <c r="J132" s="17"/>
      <c r="K132" s="17"/>
    </row>
    <row r="133" customFormat="false" ht="14.25" hidden="false" customHeight="true" outlineLevel="0" collapsed="false">
      <c r="A133" s="84" t="s">
        <v>107</v>
      </c>
      <c r="B133" s="17"/>
      <c r="C133" s="35"/>
      <c r="D133" s="35"/>
      <c r="E133" s="35"/>
      <c r="F133" s="36"/>
      <c r="G133" s="17"/>
      <c r="H133" s="17"/>
      <c r="I133" s="17"/>
      <c r="J133" s="17"/>
      <c r="K133" s="17"/>
    </row>
    <row r="134" customFormat="false" ht="14.25" hidden="false" customHeight="true" outlineLevel="0" collapsed="false">
      <c r="A134" s="84" t="s">
        <v>108</v>
      </c>
      <c r="B134" s="17"/>
      <c r="C134" s="38"/>
      <c r="D134" s="38"/>
      <c r="E134" s="38"/>
      <c r="F134" s="36"/>
      <c r="H134" s="17"/>
      <c r="I134" s="17"/>
      <c r="J134" s="17"/>
      <c r="K134" s="17"/>
    </row>
    <row r="135" customFormat="false" ht="14.25" hidden="false" customHeight="true" outlineLevel="0" collapsed="false">
      <c r="A135" s="84" t="s">
        <v>109</v>
      </c>
      <c r="B135" s="17"/>
      <c r="C135" s="38"/>
      <c r="D135" s="38"/>
      <c r="E135" s="38"/>
      <c r="F135" s="36"/>
      <c r="H135" s="17"/>
      <c r="I135" s="17"/>
      <c r="J135" s="17"/>
      <c r="K135" s="17"/>
    </row>
    <row r="136" customFormat="false" ht="14.25" hidden="false" customHeight="true" outlineLevel="0" collapsed="false">
      <c r="A136" s="84" t="s">
        <v>110</v>
      </c>
      <c r="B136" s="17"/>
      <c r="C136" s="38"/>
      <c r="D136" s="38"/>
      <c r="E136" s="38"/>
      <c r="F136" s="36"/>
      <c r="H136" s="17"/>
      <c r="I136" s="17"/>
      <c r="J136" s="17"/>
      <c r="K136" s="17"/>
    </row>
    <row r="137" customFormat="false" ht="14.25" hidden="false" customHeight="true" outlineLevel="0" collapsed="false">
      <c r="A137" s="84" t="s">
        <v>111</v>
      </c>
      <c r="B137" s="17"/>
      <c r="C137" s="38"/>
      <c r="D137" s="38"/>
      <c r="E137" s="38"/>
      <c r="F137" s="36"/>
      <c r="H137" s="17"/>
      <c r="I137" s="17"/>
      <c r="J137" s="17"/>
      <c r="K137" s="17"/>
    </row>
    <row r="138" customFormat="false" ht="14.25" hidden="false" customHeight="true" outlineLevel="0" collapsed="false">
      <c r="A138" s="84" t="s">
        <v>112</v>
      </c>
      <c r="B138" s="17"/>
      <c r="C138" s="38"/>
      <c r="D138" s="38"/>
      <c r="E138" s="38"/>
      <c r="F138" s="36"/>
      <c r="H138" s="17"/>
      <c r="I138" s="17"/>
      <c r="J138" s="17"/>
      <c r="K138" s="17"/>
    </row>
    <row r="139" customFormat="false" ht="14.25" hidden="false" customHeight="true" outlineLevel="0" collapsed="false">
      <c r="A139" s="84" t="s">
        <v>113</v>
      </c>
      <c r="B139" s="17"/>
      <c r="C139" s="38"/>
      <c r="D139" s="38"/>
      <c r="E139" s="38"/>
      <c r="F139" s="36"/>
      <c r="H139" s="17"/>
      <c r="I139" s="17"/>
      <c r="J139" s="17"/>
      <c r="K139" s="17"/>
    </row>
    <row r="140" customFormat="false" ht="14.25" hidden="false" customHeight="true" outlineLevel="0" collapsed="false">
      <c r="A140" s="85" t="s">
        <v>114</v>
      </c>
      <c r="B140" s="57"/>
      <c r="C140" s="57"/>
      <c r="D140" s="57"/>
      <c r="E140" s="57"/>
      <c r="F140" s="36"/>
      <c r="G140" s="17"/>
      <c r="H140" s="17"/>
      <c r="I140" s="17"/>
      <c r="J140" s="17"/>
      <c r="K140" s="17"/>
    </row>
    <row r="141" customFormat="false" ht="14.25" hidden="false" customHeight="true" outlineLevel="0" collapsed="false">
      <c r="A141" s="17"/>
      <c r="B141" s="17"/>
      <c r="C141" s="17"/>
      <c r="D141" s="17"/>
      <c r="E141" s="17"/>
      <c r="F141" s="36"/>
      <c r="G141" s="17"/>
      <c r="H141" s="17"/>
      <c r="I141" s="17"/>
      <c r="J141" s="17"/>
      <c r="K141" s="17"/>
    </row>
    <row r="142" customFormat="false" ht="14.25" hidden="false" customHeight="true" outlineLevel="0" collapsed="false">
      <c r="A142" s="69"/>
      <c r="B142" s="17"/>
      <c r="C142" s="17"/>
      <c r="D142" s="17"/>
      <c r="E142" s="17"/>
      <c r="F142" s="36"/>
      <c r="G142" s="17"/>
      <c r="H142" s="17"/>
      <c r="I142" s="17"/>
      <c r="J142" s="17"/>
      <c r="K142" s="17"/>
    </row>
    <row r="143" customFormat="false" ht="25.5" hidden="false" customHeight="true" outlineLevel="0" collapsed="false">
      <c r="A143" s="86" t="s">
        <v>115</v>
      </c>
      <c r="B143" s="87"/>
      <c r="C143" s="87"/>
      <c r="D143" s="87"/>
      <c r="E143" s="87"/>
      <c r="F143" s="88"/>
      <c r="G143" s="88"/>
      <c r="H143" s="88"/>
      <c r="I143" s="17"/>
      <c r="J143" s="17"/>
      <c r="K143" s="17"/>
    </row>
    <row r="144" customFormat="false" ht="14.25" hidden="false" customHeight="true" outlineLevel="0" collapsed="false">
      <c r="A144" s="17"/>
      <c r="B144" s="17"/>
      <c r="C144" s="17"/>
      <c r="D144" s="17"/>
      <c r="E144" s="17"/>
      <c r="F144" s="36"/>
      <c r="G144" s="17"/>
      <c r="H144" s="17"/>
      <c r="I144" s="17"/>
      <c r="J144" s="17"/>
      <c r="K144" s="17"/>
    </row>
    <row r="145" customFormat="false" ht="29.25" hidden="false" customHeight="true" outlineLevel="0" collapsed="false">
      <c r="A145" s="89" t="s">
        <v>116</v>
      </c>
      <c r="F145" s="36"/>
      <c r="G145" s="17"/>
      <c r="H145" s="17"/>
      <c r="I145" s="17"/>
      <c r="J145" s="17"/>
      <c r="K145" s="17"/>
    </row>
    <row r="146" customFormat="false" ht="75" hidden="false" customHeight="true" outlineLevel="0" collapsed="false">
      <c r="A146" s="90" t="s">
        <v>117</v>
      </c>
      <c r="B146" s="90"/>
      <c r="C146" s="90"/>
      <c r="D146" s="90"/>
      <c r="E146" s="90"/>
      <c r="F146" s="90"/>
      <c r="G146" s="90"/>
      <c r="H146" s="90"/>
      <c r="I146" s="17"/>
      <c r="J146" s="17"/>
      <c r="K146" s="17"/>
    </row>
    <row r="147" customFormat="false" ht="14.25" hidden="false" customHeight="true" outlineLevel="0" collapsed="false">
      <c r="A147" s="35"/>
      <c r="B147" s="17"/>
      <c r="C147" s="17"/>
      <c r="D147" s="17"/>
      <c r="E147" s="17"/>
      <c r="F147" s="36"/>
      <c r="G147" s="17"/>
      <c r="H147" s="17"/>
      <c r="I147" s="17"/>
      <c r="J147" s="17"/>
      <c r="K147" s="17"/>
    </row>
    <row r="148" customFormat="false" ht="14.25" hidden="false" customHeight="true" outlineLevel="0" collapsed="false">
      <c r="A148" s="30" t="s">
        <v>118</v>
      </c>
      <c r="B148" s="17"/>
      <c r="C148" s="17"/>
      <c r="D148" s="17"/>
      <c r="E148" s="17"/>
      <c r="F148" s="36"/>
      <c r="G148" s="17"/>
      <c r="H148" s="17"/>
      <c r="I148" s="17"/>
      <c r="J148" s="17"/>
      <c r="K148" s="17"/>
    </row>
    <row r="149" customFormat="false" ht="60" hidden="false" customHeight="true" outlineLevel="0" collapsed="false">
      <c r="A149" s="90" t="s">
        <v>119</v>
      </c>
      <c r="B149" s="90"/>
      <c r="C149" s="90"/>
      <c r="D149" s="90"/>
      <c r="E149" s="90"/>
      <c r="F149" s="90"/>
      <c r="G149" s="90"/>
      <c r="H149" s="90"/>
      <c r="I149" s="17"/>
      <c r="J149" s="17"/>
      <c r="K149" s="17"/>
    </row>
    <row r="150" customFormat="false" ht="14.25" hidden="false" customHeight="true" outlineLevel="0" collapsed="false">
      <c r="A150" s="35"/>
      <c r="B150" s="17"/>
      <c r="C150" s="38"/>
      <c r="D150" s="38"/>
      <c r="E150" s="38"/>
      <c r="F150" s="36"/>
      <c r="H150" s="17"/>
      <c r="I150" s="17"/>
      <c r="J150" s="17"/>
      <c r="K150" s="17"/>
    </row>
    <row r="151" customFormat="false" ht="14.25" hidden="false" customHeight="true" outlineLevel="0" collapsed="false">
      <c r="A151" s="91" t="s">
        <v>120</v>
      </c>
      <c r="B151" s="17"/>
      <c r="C151" s="38"/>
      <c r="D151" s="38"/>
      <c r="E151" s="38"/>
      <c r="F151" s="36"/>
      <c r="H151" s="17"/>
      <c r="I151" s="17"/>
      <c r="J151" s="17"/>
      <c r="K151" s="17"/>
    </row>
    <row r="152" customFormat="false" ht="75" hidden="false" customHeight="true" outlineLevel="0" collapsed="false">
      <c r="A152" s="90" t="s">
        <v>121</v>
      </c>
      <c r="B152" s="90"/>
      <c r="C152" s="90"/>
      <c r="D152" s="90"/>
      <c r="E152" s="90"/>
      <c r="F152" s="90"/>
      <c r="G152" s="90"/>
      <c r="H152" s="90"/>
      <c r="I152" s="17"/>
      <c r="J152" s="17"/>
      <c r="K152" s="17"/>
    </row>
    <row r="153" customFormat="false" ht="14.25" hidden="false" customHeight="true" outlineLevel="0" collapsed="false">
      <c r="A153" s="35"/>
      <c r="B153" s="17"/>
      <c r="C153" s="38"/>
      <c r="D153" s="38"/>
      <c r="E153" s="38"/>
      <c r="F153" s="36"/>
      <c r="H153" s="17"/>
      <c r="I153" s="17"/>
      <c r="J153" s="17"/>
      <c r="K153" s="17"/>
    </row>
    <row r="154" customFormat="false" ht="14.25" hidden="false" customHeight="true" outlineLevel="0" collapsed="false">
      <c r="A154" s="91" t="s">
        <v>122</v>
      </c>
      <c r="B154" s="17"/>
      <c r="C154" s="38"/>
      <c r="D154" s="38"/>
      <c r="E154" s="38"/>
      <c r="F154" s="36"/>
      <c r="H154" s="17"/>
      <c r="I154" s="17"/>
      <c r="J154" s="17"/>
      <c r="K154" s="17"/>
    </row>
    <row r="155" customFormat="false" ht="14.25" hidden="false" customHeight="true" outlineLevel="0" collapsed="false">
      <c r="A155" s="14" t="s">
        <v>123</v>
      </c>
      <c r="B155" s="17"/>
      <c r="C155" s="38"/>
      <c r="D155" s="38"/>
      <c r="E155" s="38"/>
      <c r="F155" s="36"/>
      <c r="H155" s="17"/>
      <c r="I155" s="17"/>
      <c r="J155" s="17"/>
      <c r="K155" s="17"/>
    </row>
    <row r="156" customFormat="false" ht="14.25" hidden="false" customHeight="true" outlineLevel="0" collapsed="false">
      <c r="A156" s="92" t="s">
        <v>124</v>
      </c>
      <c r="B156" s="57"/>
      <c r="C156" s="57"/>
      <c r="D156" s="57"/>
      <c r="E156" s="57"/>
      <c r="F156" s="36"/>
      <c r="G156" s="17"/>
      <c r="H156" s="17"/>
      <c r="I156" s="17"/>
      <c r="J156" s="17"/>
      <c r="K156" s="17"/>
    </row>
    <row r="157" customFormat="false" ht="14.25" hidden="false" customHeight="true" outlineLevel="0" collapsed="false">
      <c r="A157" s="14" t="s">
        <v>125</v>
      </c>
      <c r="B157" s="17"/>
      <c r="C157" s="17"/>
      <c r="D157" s="17"/>
      <c r="E157" s="17"/>
      <c r="F157" s="36"/>
      <c r="G157" s="17"/>
      <c r="H157" s="17"/>
      <c r="I157" s="17"/>
      <c r="J157" s="17"/>
      <c r="K157" s="17"/>
    </row>
    <row r="158" customFormat="false" ht="14.25" hidden="false" customHeight="true" outlineLevel="0" collapsed="false">
      <c r="A158" s="69"/>
      <c r="B158" s="17"/>
      <c r="C158" s="17"/>
      <c r="D158" s="17"/>
      <c r="E158" s="17"/>
      <c r="F158" s="36"/>
      <c r="G158" s="17"/>
      <c r="H158" s="17"/>
      <c r="I158" s="17"/>
      <c r="J158" s="17"/>
      <c r="K158" s="17"/>
    </row>
    <row r="159" customFormat="false" ht="27.75" hidden="false" customHeight="true" outlineLevel="0" collapsed="false">
      <c r="A159" s="51"/>
      <c r="F159" s="36"/>
      <c r="G159" s="17"/>
      <c r="H159" s="17"/>
      <c r="I159" s="17"/>
      <c r="J159" s="17"/>
      <c r="K159" s="17"/>
    </row>
    <row r="160" customFormat="false" ht="14.25" hidden="false" customHeight="true" outlineLevel="0" collapsed="false">
      <c r="A160" s="17"/>
      <c r="B160" s="17"/>
      <c r="C160" s="17"/>
      <c r="D160" s="17"/>
      <c r="E160" s="17"/>
      <c r="F160" s="36"/>
      <c r="G160" s="17"/>
      <c r="H160" s="17"/>
      <c r="I160" s="17"/>
      <c r="J160" s="17"/>
      <c r="K160" s="17"/>
    </row>
    <row r="161" customFormat="false" ht="27.75" hidden="false" customHeight="true" outlineLevel="0" collapsed="false">
      <c r="A161" s="51"/>
      <c r="F161" s="36"/>
      <c r="G161" s="17"/>
      <c r="H161" s="17"/>
      <c r="I161" s="17"/>
      <c r="J161" s="17"/>
      <c r="K161" s="17"/>
    </row>
    <row r="162" customFormat="false" ht="14.25" hidden="false" customHeight="true" outlineLevel="0" collapsed="false">
      <c r="A162" s="17"/>
      <c r="B162" s="17"/>
      <c r="C162" s="17"/>
      <c r="D162" s="17"/>
      <c r="E162" s="17"/>
      <c r="F162" s="36"/>
      <c r="G162" s="17"/>
      <c r="H162" s="17"/>
      <c r="I162" s="17"/>
      <c r="J162" s="17"/>
      <c r="K162" s="17"/>
    </row>
    <row r="163" customFormat="false" ht="14.25" hidden="false" customHeight="true" outlineLevel="0" collapsed="false">
      <c r="A163" s="35"/>
      <c r="B163" s="17"/>
      <c r="C163" s="17"/>
      <c r="D163" s="17"/>
      <c r="E163" s="17"/>
      <c r="F163" s="36"/>
      <c r="G163" s="17"/>
      <c r="H163" s="17"/>
      <c r="I163" s="17"/>
      <c r="J163" s="17"/>
      <c r="K163" s="17"/>
    </row>
    <row r="164" customFormat="false" ht="14.25" hidden="false" customHeight="true" outlineLevel="0" collapsed="false">
      <c r="A164" s="17"/>
      <c r="B164" s="17"/>
      <c r="C164" s="17"/>
      <c r="D164" s="17"/>
      <c r="E164" s="17"/>
      <c r="F164" s="36"/>
      <c r="G164" s="17"/>
      <c r="H164" s="17"/>
      <c r="I164" s="17"/>
      <c r="J164" s="17"/>
      <c r="K164" s="17"/>
    </row>
    <row r="165" customFormat="false" ht="14.25" hidden="false" customHeight="true" outlineLevel="0" collapsed="false">
      <c r="A165" s="35"/>
      <c r="B165" s="17"/>
      <c r="C165" s="35"/>
      <c r="D165" s="35"/>
      <c r="E165" s="35"/>
      <c r="F165" s="36"/>
      <c r="G165" s="17"/>
      <c r="H165" s="17"/>
      <c r="I165" s="17"/>
      <c r="J165" s="17"/>
      <c r="K165" s="17"/>
    </row>
    <row r="166" customFormat="false" ht="14.25" hidden="false" customHeight="true" outlineLevel="0" collapsed="false">
      <c r="A166" s="35"/>
      <c r="B166" s="17"/>
      <c r="C166" s="93"/>
      <c r="D166" s="17"/>
      <c r="E166" s="93"/>
      <c r="F166" s="36"/>
      <c r="G166" s="93"/>
      <c r="H166" s="17"/>
      <c r="I166" s="17"/>
      <c r="J166" s="17"/>
      <c r="K166" s="17"/>
    </row>
    <row r="167" customFormat="false" ht="14.25" hidden="false" customHeight="true" outlineLevel="0" collapsed="false">
      <c r="A167" s="35"/>
      <c r="B167" s="17"/>
      <c r="C167" s="93"/>
      <c r="D167" s="93"/>
      <c r="E167" s="17"/>
      <c r="F167" s="94"/>
      <c r="G167" s="17"/>
      <c r="H167" s="17"/>
      <c r="I167" s="17"/>
      <c r="J167" s="17"/>
      <c r="K167" s="17"/>
    </row>
    <row r="168" customFormat="false" ht="14.25" hidden="false" customHeight="true" outlineLevel="0" collapsed="false">
      <c r="A168" s="35"/>
      <c r="B168" s="17"/>
      <c r="C168" s="93"/>
      <c r="D168" s="93"/>
      <c r="E168" s="17"/>
      <c r="F168" s="94"/>
      <c r="G168" s="17"/>
      <c r="H168" s="17"/>
      <c r="I168" s="17"/>
      <c r="J168" s="17"/>
      <c r="K168" s="17"/>
    </row>
    <row r="169" customFormat="false" ht="14.25" hidden="false" customHeight="true" outlineLevel="0" collapsed="false">
      <c r="A169" s="35"/>
      <c r="B169" s="17"/>
      <c r="C169" s="93"/>
      <c r="D169" s="93"/>
      <c r="E169" s="17"/>
      <c r="F169" s="94"/>
      <c r="G169" s="17"/>
      <c r="H169" s="17"/>
      <c r="I169" s="17"/>
      <c r="J169" s="17"/>
      <c r="K169" s="17"/>
    </row>
    <row r="170" customFormat="false" ht="14.25" hidden="false" customHeight="true" outlineLevel="0" collapsed="false">
      <c r="A170" s="35"/>
      <c r="B170" s="17"/>
      <c r="C170" s="93"/>
      <c r="D170" s="17"/>
      <c r="E170" s="93"/>
      <c r="F170" s="36"/>
      <c r="G170" s="93"/>
      <c r="H170" s="17"/>
      <c r="I170" s="17"/>
      <c r="J170" s="17"/>
      <c r="K170" s="17"/>
    </row>
    <row r="171" customFormat="false" ht="14.25" hidden="false" customHeight="true" outlineLevel="0" collapsed="false">
      <c r="A171" s="35"/>
      <c r="B171" s="17"/>
      <c r="C171" s="93"/>
      <c r="D171" s="17"/>
      <c r="E171" s="93"/>
      <c r="F171" s="36"/>
      <c r="G171" s="93"/>
      <c r="H171" s="17"/>
      <c r="I171" s="17"/>
      <c r="J171" s="17"/>
      <c r="K171" s="17"/>
    </row>
    <row r="172" customFormat="false" ht="14.25" hidden="false" customHeight="true" outlineLevel="0" collapsed="false">
      <c r="A172" s="57"/>
      <c r="B172" s="57"/>
      <c r="C172" s="57"/>
      <c r="D172" s="57"/>
      <c r="E172" s="57"/>
      <c r="F172" s="36"/>
      <c r="G172" s="17"/>
      <c r="H172" s="17"/>
      <c r="I172" s="17"/>
      <c r="J172" s="17"/>
      <c r="K172" s="17"/>
    </row>
    <row r="173" customFormat="false" ht="14.25" hidden="false" customHeight="true" outlineLevel="0" collapsed="false">
      <c r="A173" s="17"/>
      <c r="B173" s="17"/>
      <c r="C173" s="17"/>
      <c r="D173" s="17"/>
      <c r="E173" s="17"/>
      <c r="F173" s="36"/>
      <c r="G173" s="17"/>
      <c r="H173" s="17"/>
      <c r="I173" s="17"/>
      <c r="J173" s="17"/>
      <c r="K173" s="17"/>
    </row>
    <row r="174" customFormat="false" ht="14.25" hidden="false" customHeight="true" outlineLevel="0" collapsed="false">
      <c r="A174" s="69"/>
      <c r="B174" s="17"/>
      <c r="C174" s="17"/>
      <c r="D174" s="17"/>
      <c r="E174" s="17"/>
      <c r="F174" s="36"/>
      <c r="G174" s="17"/>
      <c r="H174" s="17"/>
      <c r="I174" s="17"/>
      <c r="J174" s="17"/>
      <c r="K174" s="17"/>
    </row>
    <row r="175" customFormat="false" ht="26.25" hidden="false" customHeight="true" outlineLevel="0" collapsed="false">
      <c r="A175" s="51"/>
      <c r="F175" s="36"/>
      <c r="G175" s="17"/>
      <c r="H175" s="17"/>
      <c r="I175" s="17"/>
      <c r="J175" s="17"/>
      <c r="K175" s="17"/>
    </row>
    <row r="176" customFormat="false" ht="14.25" hidden="false" customHeight="true" outlineLevel="0" collapsed="false">
      <c r="A176" s="17"/>
      <c r="B176" s="17"/>
      <c r="C176" s="17"/>
      <c r="D176" s="17"/>
      <c r="E176" s="17"/>
      <c r="F176" s="36"/>
      <c r="G176" s="17"/>
      <c r="H176" s="17"/>
      <c r="I176" s="17"/>
      <c r="J176" s="17"/>
      <c r="K176" s="17"/>
    </row>
    <row r="177" customFormat="false" ht="14.25" hidden="false" customHeight="true" outlineLevel="0" collapsed="false">
      <c r="A177" s="35"/>
      <c r="B177" s="17"/>
      <c r="C177" s="17"/>
      <c r="D177" s="17"/>
      <c r="E177" s="17"/>
      <c r="F177" s="36"/>
      <c r="G177" s="17"/>
      <c r="H177" s="17"/>
      <c r="I177" s="17"/>
      <c r="J177" s="17"/>
      <c r="K177" s="17"/>
    </row>
    <row r="178" customFormat="false" ht="14.25" hidden="false" customHeight="true" outlineLevel="0" collapsed="false">
      <c r="A178" s="35"/>
      <c r="B178" s="17"/>
      <c r="C178" s="17"/>
      <c r="D178" s="17"/>
      <c r="E178" s="17"/>
      <c r="F178" s="36"/>
      <c r="G178" s="17"/>
      <c r="H178" s="17"/>
      <c r="I178" s="17"/>
      <c r="J178" s="17"/>
      <c r="K178" s="17"/>
    </row>
    <row r="179" customFormat="false" ht="14.25" hidden="false" customHeight="true" outlineLevel="0" collapsed="false">
      <c r="A179" s="51"/>
      <c r="F179" s="36"/>
      <c r="G179" s="17"/>
      <c r="H179" s="17"/>
      <c r="I179" s="17"/>
      <c r="J179" s="17"/>
      <c r="K179" s="17"/>
    </row>
    <row r="180" customFormat="false" ht="14.25" hidden="false" customHeight="true" outlineLevel="0" collapsed="false">
      <c r="A180" s="17"/>
      <c r="B180" s="17"/>
      <c r="C180" s="17"/>
      <c r="D180" s="17"/>
      <c r="E180" s="17"/>
      <c r="F180" s="36"/>
      <c r="G180" s="17"/>
      <c r="H180" s="17"/>
      <c r="I180" s="17"/>
      <c r="J180" s="17"/>
      <c r="K180" s="17"/>
    </row>
    <row r="181" customFormat="false" ht="24.75" hidden="false" customHeight="true" outlineLevel="0" collapsed="false">
      <c r="A181" s="51"/>
      <c r="F181" s="36"/>
      <c r="G181" s="17"/>
      <c r="H181" s="17"/>
      <c r="I181" s="17"/>
      <c r="J181" s="17"/>
      <c r="K181" s="17"/>
    </row>
    <row r="182" customFormat="false" ht="14.25" hidden="false" customHeight="true" outlineLevel="0" collapsed="false">
      <c r="A182" s="17"/>
      <c r="B182" s="17"/>
      <c r="C182" s="17"/>
      <c r="D182" s="17"/>
      <c r="E182" s="17"/>
      <c r="F182" s="36"/>
      <c r="G182" s="17"/>
      <c r="H182" s="17"/>
      <c r="I182" s="17"/>
      <c r="J182" s="17"/>
      <c r="K182" s="17"/>
    </row>
    <row r="183" customFormat="false" ht="14.25" hidden="false" customHeight="true" outlineLevel="0" collapsed="false">
      <c r="A183" s="35"/>
      <c r="B183" s="17"/>
      <c r="C183" s="17"/>
      <c r="D183" s="17"/>
      <c r="E183" s="17"/>
      <c r="F183" s="36"/>
      <c r="G183" s="17"/>
      <c r="H183" s="17"/>
      <c r="I183" s="17"/>
      <c r="J183" s="17"/>
      <c r="K183" s="17"/>
    </row>
    <row r="184" customFormat="false" ht="14.25" hidden="false" customHeight="true" outlineLevel="0" collapsed="false">
      <c r="A184" s="35"/>
      <c r="B184" s="17"/>
      <c r="C184" s="17"/>
      <c r="D184" s="17"/>
      <c r="E184" s="17"/>
      <c r="F184" s="36"/>
      <c r="G184" s="17"/>
      <c r="H184" s="17"/>
      <c r="I184" s="17"/>
      <c r="J184" s="17"/>
      <c r="K184" s="17"/>
    </row>
    <row r="185" customFormat="false" ht="14.25" hidden="false" customHeight="true" outlineLevel="0" collapsed="false">
      <c r="A185" s="35"/>
      <c r="B185" s="17"/>
      <c r="C185" s="17"/>
      <c r="D185" s="17"/>
      <c r="E185" s="17"/>
      <c r="F185" s="36"/>
      <c r="G185" s="17"/>
      <c r="H185" s="17"/>
      <c r="I185" s="17"/>
      <c r="J185" s="17"/>
      <c r="K185" s="17"/>
    </row>
    <row r="186" customFormat="false" ht="14.25" hidden="false" customHeight="true" outlineLevel="0" collapsed="false">
      <c r="A186" s="35"/>
      <c r="B186" s="17"/>
      <c r="C186" s="17"/>
      <c r="D186" s="17"/>
      <c r="E186" s="17"/>
      <c r="F186" s="36"/>
      <c r="G186" s="17"/>
      <c r="H186" s="17"/>
      <c r="I186" s="17"/>
      <c r="J186" s="17"/>
      <c r="K186" s="17"/>
    </row>
    <row r="187" customFormat="false" ht="14.25" hidden="false" customHeight="true" outlineLevel="0" collapsed="false">
      <c r="A187" s="17"/>
      <c r="B187" s="17"/>
      <c r="C187" s="17"/>
      <c r="D187" s="17"/>
      <c r="E187" s="17"/>
      <c r="F187" s="36"/>
      <c r="G187" s="17"/>
      <c r="H187" s="17"/>
      <c r="I187" s="17"/>
      <c r="J187" s="17"/>
      <c r="K187" s="17"/>
    </row>
    <row r="188" customFormat="false" ht="14.25" hidden="false" customHeight="true" outlineLevel="0" collapsed="false">
      <c r="A188" s="35"/>
      <c r="B188" s="17"/>
      <c r="C188" s="17"/>
      <c r="D188" s="17"/>
      <c r="E188" s="17"/>
      <c r="F188" s="36"/>
      <c r="G188" s="17"/>
      <c r="H188" s="17"/>
      <c r="I188" s="17"/>
      <c r="J188" s="17"/>
      <c r="K188" s="17"/>
    </row>
    <row r="189" customFormat="false" ht="14.25" hidden="false" customHeight="true" outlineLevel="0" collapsed="false">
      <c r="A189" s="17"/>
      <c r="B189" s="17"/>
      <c r="C189" s="17"/>
      <c r="D189" s="17"/>
      <c r="E189" s="17"/>
      <c r="F189" s="36"/>
      <c r="G189" s="17"/>
      <c r="H189" s="17"/>
      <c r="I189" s="17"/>
      <c r="J189" s="17"/>
      <c r="K189" s="17"/>
    </row>
    <row r="190" customFormat="false" ht="14.25" hidden="false" customHeight="true" outlineLevel="0" collapsed="false">
      <c r="A190" s="35"/>
      <c r="B190" s="17"/>
      <c r="C190" s="35"/>
      <c r="D190" s="35"/>
      <c r="E190" s="35"/>
      <c r="F190" s="36"/>
      <c r="G190" s="17"/>
      <c r="H190" s="17"/>
      <c r="I190" s="17"/>
      <c r="J190" s="17"/>
      <c r="K190" s="17"/>
    </row>
    <row r="191" customFormat="false" ht="14.25" hidden="false" customHeight="true" outlineLevel="0" collapsed="false">
      <c r="A191" s="35"/>
      <c r="B191" s="17"/>
      <c r="C191" s="38"/>
      <c r="D191" s="38"/>
      <c r="E191" s="38"/>
      <c r="F191" s="36"/>
      <c r="G191" s="38"/>
      <c r="H191" s="17"/>
      <c r="I191" s="17"/>
      <c r="J191" s="17"/>
      <c r="K191" s="17"/>
    </row>
    <row r="192" customFormat="false" ht="14.25" hidden="false" customHeight="true" outlineLevel="0" collapsed="false">
      <c r="A192" s="35"/>
      <c r="B192" s="17"/>
      <c r="C192" s="38"/>
      <c r="D192" s="38"/>
      <c r="E192" s="38"/>
      <c r="F192" s="36"/>
      <c r="G192" s="38"/>
      <c r="H192" s="17"/>
      <c r="I192" s="17"/>
      <c r="J192" s="17"/>
      <c r="K192" s="17"/>
    </row>
    <row r="193" customFormat="false" ht="14.25" hidden="false" customHeight="true" outlineLevel="0" collapsed="false">
      <c r="A193" s="35"/>
      <c r="B193" s="17"/>
      <c r="C193" s="38"/>
      <c r="D193" s="38"/>
      <c r="E193" s="38"/>
      <c r="F193" s="36"/>
      <c r="G193" s="38"/>
      <c r="H193" s="17"/>
      <c r="I193" s="17"/>
      <c r="J193" s="17"/>
      <c r="K193" s="17"/>
    </row>
    <row r="194" customFormat="false" ht="14.25" hidden="false" customHeight="true" outlineLevel="0" collapsed="false">
      <c r="A194" s="35"/>
      <c r="B194" s="17"/>
      <c r="C194" s="38"/>
      <c r="D194" s="38"/>
      <c r="E194" s="38"/>
      <c r="F194" s="36"/>
      <c r="G194" s="38"/>
      <c r="H194" s="17"/>
      <c r="I194" s="17"/>
      <c r="J194" s="17"/>
      <c r="K194" s="17"/>
    </row>
    <row r="195" customFormat="false" ht="14.25" hidden="false" customHeight="true" outlineLevel="0" collapsed="false">
      <c r="A195" s="35"/>
      <c r="B195" s="17"/>
      <c r="C195" s="38"/>
      <c r="D195" s="38"/>
      <c r="E195" s="38"/>
      <c r="F195" s="36"/>
      <c r="G195" s="38"/>
      <c r="H195" s="17"/>
      <c r="I195" s="17"/>
      <c r="J195" s="17"/>
      <c r="K195" s="17"/>
    </row>
    <row r="196" customFormat="false" ht="14.25" hidden="false" customHeight="true" outlineLevel="0" collapsed="false">
      <c r="A196" s="35"/>
      <c r="B196" s="17"/>
      <c r="C196" s="38"/>
      <c r="D196" s="38"/>
      <c r="E196" s="38"/>
      <c r="F196" s="36"/>
      <c r="G196" s="38"/>
      <c r="H196" s="17"/>
      <c r="I196" s="17"/>
      <c r="J196" s="17"/>
      <c r="K196" s="17"/>
    </row>
    <row r="197" customFormat="false" ht="14.25" hidden="false" customHeight="true" outlineLevel="0" collapsed="false">
      <c r="A197" s="17"/>
      <c r="B197" s="17"/>
      <c r="C197" s="17"/>
      <c r="D197" s="17"/>
      <c r="E197" s="17"/>
      <c r="F197" s="36"/>
      <c r="G197" s="17"/>
      <c r="H197" s="17"/>
      <c r="I197" s="17"/>
      <c r="J197" s="17"/>
      <c r="K197" s="17"/>
    </row>
    <row r="198" customFormat="false" ht="14.25" hidden="false" customHeight="true" outlineLevel="0" collapsed="false">
      <c r="A198" s="17"/>
      <c r="B198" s="17"/>
      <c r="C198" s="17"/>
      <c r="D198" s="17"/>
      <c r="E198" s="17"/>
      <c r="F198" s="36"/>
      <c r="G198" s="17"/>
      <c r="H198" s="17"/>
      <c r="I198" s="17"/>
      <c r="J198" s="17"/>
      <c r="K198" s="17"/>
    </row>
    <row r="199" customFormat="false" ht="14.25" hidden="false" customHeight="true" outlineLevel="0" collapsed="false">
      <c r="A199" s="46"/>
      <c r="B199" s="17"/>
      <c r="C199" s="17"/>
      <c r="D199" s="17"/>
      <c r="E199" s="17"/>
      <c r="F199" s="36"/>
      <c r="G199" s="17"/>
      <c r="H199" s="17"/>
      <c r="I199" s="17"/>
      <c r="J199" s="17"/>
      <c r="K199" s="17"/>
    </row>
    <row r="200" customFormat="false" ht="14.25" hidden="false" customHeight="true" outlineLevel="0" collapsed="false">
      <c r="A200" s="17"/>
      <c r="B200" s="17"/>
      <c r="C200" s="17"/>
      <c r="D200" s="17"/>
      <c r="E200" s="17"/>
      <c r="F200" s="36"/>
      <c r="G200" s="17"/>
      <c r="H200" s="17"/>
      <c r="I200" s="17"/>
      <c r="J200" s="17"/>
      <c r="K200" s="17"/>
    </row>
    <row r="201" customFormat="false" ht="14.25" hidden="false" customHeight="true" outlineLevel="0" collapsed="false">
      <c r="A201" s="35"/>
      <c r="B201" s="17"/>
      <c r="C201" s="17"/>
      <c r="D201" s="17"/>
      <c r="E201" s="17"/>
      <c r="F201" s="36"/>
      <c r="G201" s="17"/>
      <c r="H201" s="17"/>
      <c r="I201" s="17"/>
      <c r="J201" s="17"/>
      <c r="K201" s="17"/>
    </row>
    <row r="202" customFormat="false" ht="14.25" hidden="false" customHeight="true" outlineLevel="0" collapsed="false">
      <c r="A202" s="17"/>
      <c r="B202" s="17"/>
      <c r="C202" s="17"/>
      <c r="D202" s="17"/>
      <c r="E202" s="17"/>
      <c r="F202" s="36"/>
      <c r="G202" s="17"/>
      <c r="H202" s="17"/>
      <c r="I202" s="17"/>
      <c r="J202" s="17"/>
      <c r="K202" s="17"/>
    </row>
    <row r="203" customFormat="false" ht="14.25" hidden="false" customHeight="true" outlineLevel="0" collapsed="false">
      <c r="A203" s="35"/>
      <c r="B203" s="17"/>
      <c r="C203" s="35"/>
      <c r="D203" s="35"/>
      <c r="E203" s="35"/>
      <c r="F203" s="36"/>
      <c r="G203" s="17"/>
      <c r="H203" s="17"/>
      <c r="I203" s="17"/>
      <c r="J203" s="17"/>
      <c r="K203" s="17"/>
    </row>
    <row r="204" customFormat="false" ht="14.25" hidden="false" customHeight="true" outlineLevel="0" collapsed="false">
      <c r="A204" s="35"/>
      <c r="B204" s="54"/>
      <c r="C204" s="38"/>
      <c r="D204" s="95"/>
      <c r="E204" s="93"/>
      <c r="F204" s="36"/>
      <c r="G204" s="17"/>
      <c r="H204" s="17"/>
      <c r="I204" s="17"/>
      <c r="J204" s="17"/>
      <c r="K204" s="17"/>
    </row>
    <row r="205" customFormat="false" ht="14.25" hidden="false" customHeight="true" outlineLevel="0" collapsed="false">
      <c r="A205" s="35"/>
      <c r="B205" s="54"/>
      <c r="C205" s="38"/>
      <c r="D205" s="95"/>
      <c r="E205" s="93"/>
      <c r="F205" s="36"/>
      <c r="G205" s="17"/>
      <c r="H205" s="17"/>
      <c r="I205" s="17"/>
      <c r="J205" s="17"/>
      <c r="K205" s="17"/>
    </row>
    <row r="206" customFormat="false" ht="14.25" hidden="false" customHeight="true" outlineLevel="0" collapsed="false">
      <c r="A206" s="35"/>
      <c r="B206" s="54"/>
      <c r="C206" s="38"/>
      <c r="D206" s="95"/>
      <c r="E206" s="93"/>
      <c r="F206" s="36"/>
      <c r="G206" s="17"/>
      <c r="H206" s="17"/>
      <c r="I206" s="17"/>
      <c r="J206" s="17"/>
      <c r="K206" s="17"/>
    </row>
    <row r="207" customFormat="false" ht="14.25" hidden="false" customHeight="true" outlineLevel="0" collapsed="false">
      <c r="A207" s="35"/>
      <c r="B207" s="54"/>
      <c r="C207" s="38"/>
      <c r="D207" s="95"/>
      <c r="E207" s="93"/>
      <c r="F207" s="36"/>
      <c r="G207" s="17"/>
      <c r="H207" s="17"/>
      <c r="I207" s="17"/>
      <c r="J207" s="17"/>
      <c r="K207" s="17"/>
    </row>
    <row r="208" customFormat="false" ht="14.25" hidden="false" customHeight="true" outlineLevel="0" collapsed="false">
      <c r="A208" s="35"/>
      <c r="B208" s="54"/>
      <c r="C208" s="38"/>
      <c r="D208" s="95"/>
      <c r="E208" s="93"/>
      <c r="F208" s="36"/>
      <c r="G208" s="17"/>
      <c r="H208" s="17"/>
      <c r="I208" s="17"/>
      <c r="J208" s="17"/>
      <c r="K208" s="17"/>
    </row>
    <row r="209" customFormat="false" ht="14.25" hidden="false" customHeight="true" outlineLevel="0" collapsed="false">
      <c r="A209" s="35"/>
      <c r="B209" s="54"/>
      <c r="C209" s="38"/>
      <c r="D209" s="95"/>
      <c r="E209" s="93"/>
      <c r="F209" s="36"/>
      <c r="G209" s="17"/>
      <c r="H209" s="17"/>
      <c r="I209" s="17"/>
      <c r="J209" s="17"/>
      <c r="K209" s="17"/>
    </row>
    <row r="210" customFormat="false" ht="14.25" hidden="false" customHeight="true" outlineLevel="0" collapsed="false">
      <c r="A210" s="35"/>
      <c r="B210" s="54"/>
      <c r="C210" s="38"/>
      <c r="D210" s="95"/>
      <c r="E210" s="93"/>
      <c r="F210" s="36"/>
      <c r="G210" s="17"/>
      <c r="H210" s="17"/>
      <c r="I210" s="17"/>
      <c r="J210" s="17"/>
      <c r="K210" s="17"/>
    </row>
    <row r="211" customFormat="false" ht="14.25" hidden="false" customHeight="true" outlineLevel="0" collapsed="false">
      <c r="A211" s="35"/>
      <c r="B211" s="54"/>
      <c r="C211" s="38"/>
      <c r="D211" s="95"/>
      <c r="E211" s="93"/>
      <c r="F211" s="36"/>
      <c r="G211" s="17"/>
      <c r="H211" s="17"/>
      <c r="I211" s="17"/>
      <c r="J211" s="17"/>
      <c r="K211" s="17"/>
    </row>
    <row r="212" customFormat="false" ht="14.25" hidden="false" customHeight="true" outlineLevel="0" collapsed="false">
      <c r="A212" s="35"/>
      <c r="B212" s="54"/>
      <c r="C212" s="38"/>
      <c r="D212" s="95"/>
      <c r="E212" s="93"/>
      <c r="F212" s="36"/>
      <c r="G212" s="17"/>
      <c r="H212" s="17"/>
      <c r="I212" s="17"/>
      <c r="J212" s="17"/>
      <c r="K212" s="17"/>
    </row>
    <row r="213" customFormat="false" ht="14.25" hidden="false" customHeight="true" outlineLevel="0" collapsed="false">
      <c r="A213" s="35"/>
      <c r="B213" s="54"/>
      <c r="C213" s="38"/>
      <c r="D213" s="95"/>
      <c r="E213" s="93"/>
      <c r="F213" s="36"/>
      <c r="G213" s="17"/>
      <c r="H213" s="17"/>
      <c r="I213" s="17"/>
      <c r="J213" s="17"/>
      <c r="K213" s="17"/>
    </row>
    <row r="214" customFormat="false" ht="14.25" hidden="false" customHeight="true" outlineLevel="0" collapsed="false">
      <c r="A214" s="35"/>
      <c r="B214" s="54"/>
      <c r="C214" s="38"/>
      <c r="D214" s="95"/>
      <c r="E214" s="93"/>
      <c r="F214" s="36"/>
      <c r="G214" s="17"/>
      <c r="H214" s="17"/>
      <c r="I214" s="17"/>
      <c r="J214" s="17"/>
      <c r="K214" s="17"/>
    </row>
    <row r="215" customFormat="false" ht="14.25" hidden="false" customHeight="true" outlineLevel="0" collapsed="false">
      <c r="A215" s="35"/>
      <c r="B215" s="54"/>
      <c r="C215" s="38"/>
      <c r="D215" s="95"/>
      <c r="E215" s="93"/>
      <c r="F215" s="36"/>
      <c r="G215" s="17"/>
      <c r="H215" s="17"/>
      <c r="I215" s="17"/>
      <c r="J215" s="17"/>
      <c r="K215" s="17"/>
    </row>
    <row r="216" customFormat="false" ht="14.25" hidden="false" customHeight="true" outlineLevel="0" collapsed="false">
      <c r="A216" s="17"/>
      <c r="B216" s="17"/>
      <c r="C216" s="17"/>
      <c r="D216" s="17"/>
      <c r="E216" s="17"/>
      <c r="F216" s="36"/>
      <c r="G216" s="17"/>
      <c r="H216" s="17"/>
      <c r="I216" s="17"/>
      <c r="J216" s="17"/>
      <c r="K216" s="17"/>
    </row>
    <row r="217" customFormat="false" ht="14.25" hidden="false" customHeight="true" outlineLevel="0" collapsed="false">
      <c r="A217" s="35"/>
      <c r="B217" s="17"/>
      <c r="C217" s="17"/>
      <c r="D217" s="17"/>
      <c r="E217" s="17"/>
      <c r="F217" s="36"/>
      <c r="G217" s="93"/>
      <c r="H217" s="17"/>
      <c r="I217" s="17"/>
      <c r="J217" s="17"/>
      <c r="K217" s="17"/>
    </row>
    <row r="218" customFormat="false" ht="14.25" hidden="false" customHeight="true" outlineLevel="0" collapsed="false">
      <c r="A218" s="17"/>
      <c r="B218" s="17"/>
      <c r="C218" s="17"/>
      <c r="D218" s="17"/>
      <c r="E218" s="17"/>
      <c r="F218" s="36"/>
      <c r="G218" s="17"/>
      <c r="H218" s="17"/>
      <c r="I218" s="17"/>
      <c r="J218" s="17"/>
      <c r="K218" s="17"/>
    </row>
    <row r="219" customFormat="false" ht="14.25" hidden="false" customHeight="true" outlineLevel="0" collapsed="false">
      <c r="A219" s="17"/>
      <c r="B219" s="17"/>
      <c r="C219" s="17"/>
      <c r="D219" s="17"/>
      <c r="E219" s="17"/>
      <c r="F219" s="36"/>
      <c r="G219" s="17"/>
      <c r="H219" s="17"/>
      <c r="I219" s="17"/>
      <c r="J219" s="17"/>
      <c r="K219" s="17"/>
    </row>
    <row r="220" customFormat="false" ht="14.25" hidden="false" customHeight="true" outlineLevel="0" collapsed="false">
      <c r="A220" s="35"/>
      <c r="B220" s="17"/>
      <c r="C220" s="17"/>
      <c r="D220" s="17"/>
      <c r="E220" s="17"/>
      <c r="F220" s="36"/>
      <c r="G220" s="17"/>
      <c r="H220" s="17"/>
      <c r="I220" s="17"/>
      <c r="J220" s="17"/>
      <c r="K220" s="17"/>
    </row>
    <row r="221" customFormat="false" ht="14.25" hidden="false" customHeight="true" outlineLevel="0" collapsed="false">
      <c r="A221" s="17"/>
      <c r="B221" s="17"/>
      <c r="C221" s="17"/>
      <c r="D221" s="17"/>
      <c r="E221" s="17"/>
      <c r="F221" s="36"/>
      <c r="G221" s="17"/>
      <c r="H221" s="17"/>
      <c r="I221" s="17"/>
      <c r="J221" s="17"/>
      <c r="K221" s="17"/>
    </row>
    <row r="222" customFormat="false" ht="14.25" hidden="false" customHeight="true" outlineLevel="0" collapsed="false">
      <c r="A222" s="17"/>
      <c r="B222" s="17"/>
      <c r="C222" s="17"/>
      <c r="D222" s="17"/>
      <c r="E222" s="17"/>
      <c r="F222" s="96"/>
      <c r="G222" s="35"/>
      <c r="H222" s="35"/>
      <c r="I222" s="35"/>
      <c r="J222" s="35"/>
      <c r="K222" s="35"/>
    </row>
    <row r="223" customFormat="false" ht="14.25" hidden="false" customHeight="true" outlineLevel="0" collapsed="false">
      <c r="A223" s="35"/>
      <c r="B223" s="17"/>
      <c r="C223" s="17"/>
      <c r="D223" s="17"/>
      <c r="E223" s="97"/>
      <c r="F223" s="94"/>
      <c r="G223" s="93"/>
      <c r="H223" s="93"/>
      <c r="I223" s="93"/>
      <c r="J223" s="93"/>
      <c r="K223" s="17"/>
    </row>
    <row r="224" customFormat="false" ht="14.25" hidden="false" customHeight="true" outlineLevel="0" collapsed="false">
      <c r="A224" s="17"/>
      <c r="B224" s="17"/>
      <c r="C224" s="17"/>
      <c r="D224" s="17"/>
      <c r="E224" s="17"/>
      <c r="F224" s="36"/>
      <c r="G224" s="17"/>
      <c r="H224" s="17"/>
      <c r="I224" s="17"/>
      <c r="J224" s="17"/>
      <c r="K224" s="17"/>
    </row>
    <row r="225" customFormat="false" ht="14.25" hidden="false" customHeight="true" outlineLevel="0" collapsed="false">
      <c r="A225" s="35"/>
      <c r="B225" s="17"/>
      <c r="C225" s="17"/>
      <c r="D225" s="17"/>
      <c r="E225" s="35"/>
      <c r="F225" s="98"/>
      <c r="G225" s="97"/>
      <c r="H225" s="93"/>
      <c r="I225" s="93"/>
      <c r="J225" s="93"/>
      <c r="K225" s="17"/>
    </row>
    <row r="226" customFormat="false" ht="14.25" hidden="false" customHeight="true" outlineLevel="0" collapsed="false">
      <c r="A226" s="17"/>
      <c r="B226" s="17"/>
      <c r="C226" s="17"/>
      <c r="D226" s="17"/>
      <c r="E226" s="17"/>
      <c r="F226" s="36"/>
      <c r="G226" s="17"/>
      <c r="H226" s="17"/>
      <c r="I226" s="17"/>
      <c r="J226" s="17"/>
      <c r="K226" s="17"/>
    </row>
    <row r="227" customFormat="false" ht="14.25" hidden="false" customHeight="true" outlineLevel="0" collapsed="false">
      <c r="A227" s="35"/>
      <c r="B227" s="17"/>
      <c r="C227" s="17"/>
      <c r="D227" s="17"/>
      <c r="E227" s="93"/>
      <c r="F227" s="94"/>
      <c r="G227" s="93"/>
      <c r="H227" s="93"/>
      <c r="I227" s="93"/>
      <c r="J227" s="93"/>
      <c r="K227" s="17"/>
    </row>
    <row r="228" customFormat="false" ht="14.25" hidden="false" customHeight="true" outlineLevel="0" collapsed="false">
      <c r="A228" s="17"/>
      <c r="B228" s="17"/>
      <c r="C228" s="17"/>
      <c r="D228" s="17"/>
      <c r="E228" s="17"/>
      <c r="F228" s="36"/>
      <c r="G228" s="17"/>
      <c r="H228" s="17"/>
      <c r="I228" s="17"/>
      <c r="J228" s="17"/>
      <c r="K228" s="17"/>
    </row>
    <row r="229" customFormat="false" ht="14.25" hidden="false" customHeight="true" outlineLevel="0" collapsed="false">
      <c r="A229" s="35"/>
      <c r="B229" s="17"/>
      <c r="C229" s="17"/>
      <c r="D229" s="17"/>
      <c r="E229" s="97"/>
      <c r="F229" s="98"/>
      <c r="G229" s="97"/>
      <c r="H229" s="97"/>
      <c r="I229" s="97"/>
      <c r="J229" s="97"/>
      <c r="K229" s="17"/>
    </row>
    <row r="230" customFormat="false" ht="14.25" hidden="false" customHeight="true" outlineLevel="0" collapsed="false">
      <c r="A230" s="17"/>
      <c r="B230" s="17"/>
      <c r="C230" s="17"/>
      <c r="D230" s="17"/>
      <c r="E230" s="17"/>
      <c r="F230" s="36"/>
      <c r="G230" s="17"/>
      <c r="H230" s="17"/>
      <c r="I230" s="17"/>
      <c r="J230" s="17"/>
      <c r="K230" s="17"/>
    </row>
    <row r="231" customFormat="false" ht="14.25" hidden="false" customHeight="true" outlineLevel="0" collapsed="false">
      <c r="A231" s="35"/>
      <c r="B231" s="17"/>
      <c r="C231" s="17"/>
      <c r="D231" s="17"/>
      <c r="E231" s="93"/>
      <c r="F231" s="94"/>
      <c r="G231" s="93"/>
      <c r="H231" s="93"/>
      <c r="I231" s="93"/>
      <c r="J231" s="93"/>
      <c r="K231" s="17"/>
    </row>
    <row r="232" customFormat="false" ht="14.25" hidden="false" customHeight="true" outlineLevel="0" collapsed="false">
      <c r="A232" s="17"/>
      <c r="B232" s="17"/>
      <c r="C232" s="17"/>
      <c r="D232" s="17"/>
      <c r="E232" s="17"/>
      <c r="F232" s="36"/>
      <c r="G232" s="17"/>
      <c r="H232" s="17"/>
      <c r="I232" s="17"/>
      <c r="J232" s="17"/>
      <c r="K232" s="17"/>
    </row>
    <row r="233" customFormat="false" ht="14.25" hidden="false" customHeight="true" outlineLevel="0" collapsed="false">
      <c r="A233" s="17"/>
      <c r="B233" s="17"/>
      <c r="C233" s="17"/>
      <c r="D233" s="17"/>
      <c r="E233" s="17"/>
      <c r="F233" s="36"/>
      <c r="G233" s="17"/>
      <c r="H233" s="17"/>
      <c r="I233" s="17"/>
      <c r="J233" s="17"/>
      <c r="K233" s="17"/>
    </row>
    <row r="234" customFormat="false" ht="14.25" hidden="false" customHeight="true" outlineLevel="0" collapsed="false">
      <c r="A234" s="35"/>
      <c r="B234" s="17"/>
      <c r="C234" s="17"/>
      <c r="D234" s="17"/>
      <c r="E234" s="17"/>
      <c r="F234" s="36"/>
      <c r="G234" s="17"/>
      <c r="H234" s="17"/>
      <c r="I234" s="17"/>
      <c r="J234" s="17"/>
      <c r="K234" s="17"/>
    </row>
    <row r="235" customFormat="false" ht="14.25" hidden="false" customHeight="true" outlineLevel="0" collapsed="false">
      <c r="A235" s="17"/>
      <c r="B235" s="17"/>
      <c r="C235" s="17"/>
      <c r="D235" s="17"/>
      <c r="E235" s="17"/>
      <c r="F235" s="36"/>
      <c r="G235" s="17"/>
      <c r="H235" s="17"/>
      <c r="I235" s="17"/>
      <c r="J235" s="17"/>
      <c r="K235" s="17"/>
    </row>
    <row r="236" customFormat="false" ht="14.25" hidden="false" customHeight="true" outlineLevel="0" collapsed="false">
      <c r="A236" s="17"/>
      <c r="B236" s="17"/>
      <c r="C236" s="17"/>
      <c r="D236" s="17"/>
      <c r="E236" s="17"/>
      <c r="F236" s="96"/>
      <c r="G236" s="35"/>
      <c r="H236" s="35"/>
      <c r="I236" s="35"/>
      <c r="J236" s="35"/>
      <c r="K236" s="35"/>
    </row>
    <row r="237" customFormat="false" ht="14.25" hidden="false" customHeight="true" outlineLevel="0" collapsed="false">
      <c r="A237" s="17"/>
      <c r="B237" s="17"/>
      <c r="C237" s="17"/>
      <c r="D237" s="17"/>
      <c r="E237" s="17"/>
      <c r="F237" s="36"/>
      <c r="G237" s="17"/>
      <c r="H237" s="17"/>
      <c r="I237" s="17"/>
      <c r="J237" s="17"/>
      <c r="K237" s="17"/>
    </row>
    <row r="238" customFormat="false" ht="14.25" hidden="false" customHeight="true" outlineLevel="0" collapsed="false">
      <c r="A238" s="35"/>
      <c r="B238" s="17"/>
      <c r="C238" s="38"/>
      <c r="D238" s="38"/>
      <c r="E238" s="38"/>
      <c r="F238" s="99"/>
      <c r="G238" s="38"/>
      <c r="H238" s="38"/>
      <c r="I238" s="17"/>
      <c r="J238" s="17"/>
      <c r="K238" s="17"/>
    </row>
    <row r="239" customFormat="false" ht="14.25" hidden="false" customHeight="true" outlineLevel="0" collapsed="false">
      <c r="A239" s="17"/>
      <c r="B239" s="17"/>
      <c r="C239" s="17"/>
      <c r="D239" s="17"/>
      <c r="E239" s="17"/>
      <c r="F239" s="36"/>
      <c r="G239" s="17"/>
      <c r="H239" s="17"/>
      <c r="I239" s="17"/>
      <c r="J239" s="17"/>
      <c r="K239" s="17"/>
    </row>
    <row r="240" customFormat="false" ht="14.25" hidden="false" customHeight="true" outlineLevel="0" collapsed="false">
      <c r="A240" s="35"/>
      <c r="B240" s="17"/>
      <c r="C240" s="17"/>
      <c r="D240" s="17"/>
      <c r="E240" s="93"/>
      <c r="F240" s="94"/>
      <c r="G240" s="93"/>
      <c r="H240" s="93"/>
      <c r="I240" s="93"/>
      <c r="J240" s="93"/>
      <c r="K240" s="17"/>
    </row>
    <row r="241" customFormat="false" ht="14.25" hidden="false" customHeight="true" outlineLevel="0" collapsed="false">
      <c r="A241" s="17"/>
      <c r="B241" s="17"/>
      <c r="C241" s="17"/>
      <c r="D241" s="17"/>
      <c r="E241" s="17"/>
      <c r="F241" s="36"/>
      <c r="G241" s="17"/>
      <c r="H241" s="17"/>
      <c r="I241" s="17"/>
      <c r="J241" s="17"/>
      <c r="K241" s="17"/>
    </row>
    <row r="242" customFormat="false" ht="14.25" hidden="false" customHeight="true" outlineLevel="0" collapsed="false">
      <c r="A242" s="35"/>
      <c r="B242" s="93"/>
      <c r="C242" s="35"/>
      <c r="D242" s="35"/>
      <c r="E242" s="35"/>
      <c r="F242" s="96"/>
      <c r="G242" s="35"/>
      <c r="H242" s="17"/>
      <c r="I242" s="17"/>
      <c r="J242" s="17"/>
      <c r="K242" s="17"/>
    </row>
    <row r="243" customFormat="false" ht="14.25" hidden="false" customHeight="true" outlineLevel="0" collapsed="false">
      <c r="A243" s="17"/>
      <c r="B243" s="17"/>
      <c r="C243" s="17"/>
      <c r="D243" s="17"/>
      <c r="E243" s="17"/>
      <c r="F243" s="36"/>
      <c r="G243" s="17"/>
      <c r="H243" s="17"/>
      <c r="I243" s="17"/>
      <c r="J243" s="17"/>
      <c r="K243" s="17"/>
    </row>
    <row r="244" customFormat="false" ht="14.25" hidden="false" customHeight="true" outlineLevel="0" collapsed="false">
      <c r="A244" s="35"/>
      <c r="B244" s="17"/>
      <c r="C244" s="93"/>
      <c r="D244" s="93"/>
      <c r="E244" s="93"/>
      <c r="F244" s="94"/>
      <c r="G244" s="93"/>
      <c r="H244" s="93"/>
      <c r="I244" s="17"/>
      <c r="J244" s="17"/>
      <c r="K244" s="17"/>
    </row>
    <row r="245" customFormat="false" ht="14.25" hidden="false" customHeight="true" outlineLevel="0" collapsed="false">
      <c r="A245" s="17"/>
      <c r="B245" s="17"/>
      <c r="C245" s="17"/>
      <c r="D245" s="17"/>
      <c r="E245" s="17"/>
      <c r="F245" s="36"/>
      <c r="G245" s="17"/>
      <c r="H245" s="17"/>
      <c r="I245" s="17"/>
      <c r="J245" s="17"/>
      <c r="K245" s="17"/>
    </row>
    <row r="246" customFormat="false" ht="14.25" hidden="false" customHeight="true" outlineLevel="0" collapsed="false">
      <c r="A246" s="17"/>
      <c r="B246" s="17"/>
      <c r="C246" s="17"/>
      <c r="D246" s="17"/>
      <c r="E246" s="17"/>
      <c r="F246" s="36"/>
      <c r="G246" s="17"/>
      <c r="H246" s="17"/>
      <c r="I246" s="17"/>
      <c r="J246" s="17"/>
      <c r="K246" s="17"/>
    </row>
    <row r="247" customFormat="false" ht="14.25" hidden="false" customHeight="true" outlineLevel="0" collapsed="false">
      <c r="A247" s="35"/>
      <c r="B247" s="17"/>
      <c r="C247" s="17"/>
      <c r="D247" s="17"/>
      <c r="E247" s="17"/>
      <c r="F247" s="36"/>
      <c r="G247" s="17"/>
      <c r="H247" s="17"/>
      <c r="I247" s="17"/>
      <c r="J247" s="17"/>
      <c r="K247" s="17"/>
    </row>
    <row r="248" customFormat="false" ht="14.25" hidden="false" customHeight="true" outlineLevel="0" collapsed="false">
      <c r="A248" s="17"/>
      <c r="B248" s="17"/>
      <c r="C248" s="17"/>
      <c r="D248" s="17"/>
      <c r="E248" s="17"/>
      <c r="F248" s="36"/>
      <c r="G248" s="17"/>
      <c r="H248" s="17"/>
      <c r="I248" s="17"/>
      <c r="J248" s="17"/>
      <c r="K248" s="17"/>
    </row>
    <row r="249" customFormat="false" ht="14.25" hidden="false" customHeight="true" outlineLevel="0" collapsed="false">
      <c r="A249" s="17"/>
      <c r="B249" s="17"/>
      <c r="C249" s="17"/>
      <c r="D249" s="17"/>
      <c r="E249" s="17"/>
      <c r="F249" s="96"/>
      <c r="G249" s="35"/>
      <c r="H249" s="35"/>
      <c r="I249" s="35"/>
      <c r="J249" s="35"/>
      <c r="K249" s="35"/>
    </row>
    <row r="250" customFormat="false" ht="14.25" hidden="false" customHeight="true" outlineLevel="0" collapsed="false">
      <c r="A250" s="17"/>
      <c r="B250" s="17"/>
      <c r="C250" s="17"/>
      <c r="D250" s="17"/>
      <c r="E250" s="17"/>
      <c r="F250" s="36"/>
      <c r="G250" s="17"/>
      <c r="H250" s="17"/>
      <c r="I250" s="17"/>
      <c r="J250" s="17"/>
      <c r="K250" s="17"/>
    </row>
    <row r="251" customFormat="false" ht="14.25" hidden="false" customHeight="true" outlineLevel="0" collapsed="false">
      <c r="A251" s="35"/>
      <c r="B251" s="17"/>
      <c r="C251" s="17"/>
      <c r="D251" s="93"/>
      <c r="E251" s="93"/>
      <c r="F251" s="94"/>
      <c r="G251" s="93"/>
      <c r="H251" s="93"/>
      <c r="I251" s="35"/>
      <c r="J251" s="17"/>
      <c r="K251" s="17"/>
    </row>
    <row r="252" customFormat="false" ht="14.25" hidden="false" customHeight="true" outlineLevel="0" collapsed="false">
      <c r="A252" s="17"/>
      <c r="B252" s="17"/>
      <c r="C252" s="17"/>
      <c r="D252" s="17"/>
      <c r="E252" s="17"/>
      <c r="F252" s="36"/>
      <c r="G252" s="17"/>
      <c r="H252" s="17"/>
      <c r="I252" s="17"/>
      <c r="J252" s="17"/>
      <c r="K252" s="17"/>
    </row>
    <row r="253" customFormat="false" ht="14.25" hidden="false" customHeight="true" outlineLevel="0" collapsed="false">
      <c r="A253" s="35"/>
      <c r="B253" s="17"/>
      <c r="C253" s="17"/>
      <c r="D253" s="17"/>
      <c r="E253" s="93"/>
      <c r="F253" s="94"/>
      <c r="G253" s="93"/>
      <c r="H253" s="93"/>
      <c r="I253" s="93"/>
      <c r="J253" s="93"/>
      <c r="K253" s="17"/>
    </row>
    <row r="254" customFormat="false" ht="14.25" hidden="false" customHeight="true" outlineLevel="0" collapsed="false">
      <c r="A254" s="17"/>
      <c r="B254" s="17"/>
      <c r="C254" s="17"/>
      <c r="D254" s="17"/>
      <c r="E254" s="17"/>
      <c r="F254" s="36"/>
      <c r="G254" s="17"/>
      <c r="H254" s="17"/>
      <c r="I254" s="17"/>
      <c r="J254" s="17"/>
      <c r="K254" s="17"/>
    </row>
    <row r="255" customFormat="false" ht="14.25" hidden="false" customHeight="true" outlineLevel="0" collapsed="false">
      <c r="A255" s="35"/>
      <c r="B255" s="17"/>
      <c r="C255" s="17"/>
      <c r="D255" s="17"/>
      <c r="E255" s="93"/>
      <c r="F255" s="94"/>
      <c r="G255" s="93"/>
      <c r="H255" s="93"/>
      <c r="I255" s="93"/>
      <c r="J255" s="93"/>
      <c r="K255" s="17"/>
    </row>
  </sheetData>
  <mergeCells count="18">
    <mergeCell ref="A5:H5"/>
    <mergeCell ref="A13:H13"/>
    <mergeCell ref="A21:H21"/>
    <mergeCell ref="A29:H29"/>
    <mergeCell ref="A37:H37"/>
    <mergeCell ref="A45:H45"/>
    <mergeCell ref="A53:H53"/>
    <mergeCell ref="A61:H61"/>
    <mergeCell ref="A69:H69"/>
    <mergeCell ref="A77:H77"/>
    <mergeCell ref="A85:H85"/>
    <mergeCell ref="A93:H93"/>
    <mergeCell ref="A101:H101"/>
    <mergeCell ref="A109:H109"/>
    <mergeCell ref="A117:H117"/>
    <mergeCell ref="A146:H146"/>
    <mergeCell ref="A149:H149"/>
    <mergeCell ref="A152:H15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J91"/>
  <sheetViews>
    <sheetView showFormulas="false" showGridLines="false" showRowColHeaders="true" showZeros="true" rightToLeft="false" tabSelected="false" showOutlineSymbols="true" defaultGridColor="true" view="normal" topLeftCell="A20" colorId="64" zoomScale="70" zoomScaleNormal="70" zoomScalePageLayoutView="100" workbookViewId="0">
      <pane xSplit="2" ySplit="2" topLeftCell="C3" activePane="bottomRight" state="frozen"/>
      <selection pane="topLeft" activeCell="A20" activeCellId="0" sqref="A20"/>
      <selection pane="topRight" activeCell="C20" activeCellId="0" sqref="C20"/>
      <selection pane="bottomLeft" activeCell="A3" activeCellId="0" sqref="A3"/>
      <selection pane="bottomRight" activeCell="B28" activeCellId="0" sqref="B28"/>
    </sheetView>
  </sheetViews>
  <sheetFormatPr defaultColWidth="14.45703125" defaultRowHeight="14.25" zeroHeight="false" outlineLevelRow="0" outlineLevelCol="0"/>
  <cols>
    <col collapsed="false" customWidth="true" hidden="false" outlineLevel="0" max="1" min="1" style="100" width="60"/>
    <col collapsed="false" customWidth="true" hidden="false" outlineLevel="0" max="2" min="2" style="100" width="13.91"/>
    <col collapsed="false" customWidth="true" hidden="false" outlineLevel="0" max="3" min="3" style="15" width="12.63"/>
    <col collapsed="false" customWidth="true" hidden="false" outlineLevel="0" max="4" min="4" style="15" width="13.36"/>
    <col collapsed="false" customWidth="true" hidden="false" outlineLevel="0" max="5" min="5" style="15" width="14.27"/>
    <col collapsed="false" customWidth="true" hidden="false" outlineLevel="0" max="10" min="6" style="15" width="14"/>
  </cols>
  <sheetData>
    <row r="1" customFormat="false" ht="24.75" hidden="false" customHeight="true" outlineLevel="0" collapsed="false">
      <c r="A1" s="34" t="s">
        <v>126</v>
      </c>
      <c r="B1" s="101"/>
      <c r="C1" s="17"/>
      <c r="D1" s="102"/>
      <c r="E1" s="34" t="s">
        <v>127</v>
      </c>
      <c r="F1" s="102"/>
      <c r="G1" s="102"/>
      <c r="H1" s="102"/>
      <c r="I1" s="102"/>
      <c r="J1" s="102"/>
    </row>
    <row r="2" customFormat="false" ht="12.75" hidden="false" customHeight="true" outlineLevel="0" collapsed="false">
      <c r="A2" s="103"/>
      <c r="B2" s="103"/>
      <c r="C2" s="104" t="n">
        <v>2023</v>
      </c>
      <c r="D2" s="104" t="n">
        <v>2024</v>
      </c>
      <c r="E2" s="104" t="n">
        <v>2025</v>
      </c>
      <c r="F2" s="105"/>
      <c r="G2" s="102"/>
      <c r="H2" s="102"/>
      <c r="I2" s="102"/>
      <c r="J2" s="102"/>
    </row>
    <row r="3" customFormat="false" ht="13.5" hidden="false" customHeight="true" outlineLevel="0" collapsed="false">
      <c r="A3" s="35" t="s">
        <v>128</v>
      </c>
      <c r="B3" s="106"/>
      <c r="C3" s="93" t="n">
        <v>33723297</v>
      </c>
      <c r="D3" s="93" t="n">
        <v>39000966</v>
      </c>
      <c r="E3" s="93" t="n">
        <v>45183036</v>
      </c>
      <c r="F3" s="105"/>
      <c r="G3" s="102"/>
      <c r="H3" s="102"/>
      <c r="I3" s="102"/>
      <c r="J3" s="102"/>
    </row>
    <row r="4" customFormat="false" ht="13.5" hidden="false" customHeight="true" outlineLevel="0" collapsed="false">
      <c r="A4" s="35" t="s">
        <v>129</v>
      </c>
      <c r="B4" s="106"/>
      <c r="C4" s="107" t="n">
        <v>19715368</v>
      </c>
      <c r="D4" s="107" t="n">
        <v>21038464</v>
      </c>
      <c r="E4" s="107" t="n">
        <v>23275329</v>
      </c>
      <c r="F4" s="105"/>
      <c r="G4" s="102"/>
      <c r="H4" s="102"/>
      <c r="I4" s="102"/>
      <c r="J4" s="102"/>
    </row>
    <row r="5" customFormat="false" ht="13.5" hidden="false" customHeight="true" outlineLevel="0" collapsed="false">
      <c r="A5" s="106"/>
      <c r="B5" s="106"/>
      <c r="C5" s="108" t="n">
        <f aca="false">C3-C4</f>
        <v>14007929</v>
      </c>
      <c r="D5" s="108" t="n">
        <f aca="false">D3-D4</f>
        <v>17962502</v>
      </c>
      <c r="E5" s="108" t="n">
        <f aca="false">E3-E4</f>
        <v>21907707</v>
      </c>
      <c r="F5" s="105"/>
      <c r="G5" s="102"/>
      <c r="H5" s="102"/>
      <c r="I5" s="102"/>
      <c r="J5" s="102"/>
    </row>
    <row r="6" customFormat="false" ht="13.5" hidden="false" customHeight="true" outlineLevel="0" collapsed="false">
      <c r="A6" s="35" t="s">
        <v>130</v>
      </c>
      <c r="B6" s="106"/>
      <c r="C6" s="93" t="n">
        <v>2657883</v>
      </c>
      <c r="D6" s="93" t="n">
        <v>2917554</v>
      </c>
      <c r="E6" s="93" t="n">
        <v>3301306</v>
      </c>
      <c r="F6" s="105"/>
      <c r="G6" s="102"/>
      <c r="H6" s="102"/>
      <c r="I6" s="102"/>
      <c r="J6" s="102"/>
    </row>
    <row r="7" customFormat="false" ht="13.5" hidden="false" customHeight="true" outlineLevel="0" collapsed="false">
      <c r="A7" s="35" t="s">
        <v>131</v>
      </c>
      <c r="B7" s="109"/>
      <c r="C7" s="93" t="n">
        <v>2675758</v>
      </c>
      <c r="D7" s="93" t="n">
        <v>2925295</v>
      </c>
      <c r="E7" s="93" t="n">
        <v>3391390</v>
      </c>
      <c r="F7" s="105"/>
      <c r="G7" s="102"/>
      <c r="H7" s="102"/>
      <c r="I7" s="102"/>
      <c r="J7" s="102"/>
    </row>
    <row r="8" customFormat="false" ht="13.5" hidden="false" customHeight="true" outlineLevel="0" collapsed="false">
      <c r="A8" s="35" t="s">
        <v>132</v>
      </c>
      <c r="B8" s="109"/>
      <c r="C8" s="107" t="n">
        <v>1720285</v>
      </c>
      <c r="D8" s="107" t="n">
        <v>1702039</v>
      </c>
      <c r="E8" s="107" t="n">
        <v>1888408</v>
      </c>
      <c r="F8" s="105"/>
      <c r="G8" s="102"/>
      <c r="H8" s="102"/>
      <c r="I8" s="102"/>
      <c r="J8" s="102"/>
    </row>
    <row r="9" customFormat="false" ht="13.5" hidden="false" customHeight="true" outlineLevel="0" collapsed="false">
      <c r="A9" s="35" t="s">
        <v>133</v>
      </c>
      <c r="B9" s="106"/>
      <c r="C9" s="108" t="n">
        <f aca="false">C5-C6-C7-C8</f>
        <v>6954003</v>
      </c>
      <c r="D9" s="108" t="n">
        <f aca="false">D5-D6-D7-D8</f>
        <v>10417614</v>
      </c>
      <c r="E9" s="108" t="n">
        <f aca="false">E5-E6-E7-E8</f>
        <v>13326603</v>
      </c>
      <c r="F9" s="105"/>
      <c r="G9" s="102"/>
      <c r="H9" s="102"/>
      <c r="I9" s="102"/>
      <c r="J9" s="102"/>
    </row>
    <row r="10" customFormat="false" ht="13.5" hidden="false" customHeight="true" outlineLevel="0" collapsed="false">
      <c r="A10" s="35" t="s">
        <v>134</v>
      </c>
      <c r="B10" s="106"/>
      <c r="C10" s="110"/>
      <c r="D10" s="110"/>
      <c r="E10" s="110"/>
      <c r="F10" s="105"/>
      <c r="G10" s="102"/>
      <c r="H10" s="102"/>
      <c r="I10" s="102"/>
      <c r="J10" s="102"/>
    </row>
    <row r="11" customFormat="false" ht="13.5" hidden="false" customHeight="true" outlineLevel="0" collapsed="false">
      <c r="A11" s="35" t="s">
        <v>135</v>
      </c>
      <c r="B11" s="106"/>
      <c r="C11" s="93" t="n">
        <v>-699826</v>
      </c>
      <c r="D11" s="93" t="n">
        <v>-718733</v>
      </c>
      <c r="E11" s="93" t="n">
        <v>-776510</v>
      </c>
      <c r="F11" s="111"/>
      <c r="G11" s="102"/>
      <c r="H11" s="102"/>
      <c r="I11" s="102"/>
      <c r="J11" s="102"/>
    </row>
    <row r="12" customFormat="false" ht="13.5" hidden="false" customHeight="true" outlineLevel="0" collapsed="false">
      <c r="A12" s="35" t="s">
        <v>136</v>
      </c>
      <c r="B12" s="106"/>
      <c r="C12" s="107" t="n">
        <v>-48772</v>
      </c>
      <c r="D12" s="107" t="n">
        <v>266776</v>
      </c>
      <c r="E12" s="107" t="n">
        <v>172459</v>
      </c>
      <c r="F12" s="105"/>
      <c r="G12" s="102"/>
      <c r="H12" s="102"/>
      <c r="I12" s="102"/>
      <c r="J12" s="102"/>
    </row>
    <row r="13" customFormat="false" ht="13.5" hidden="false" customHeight="true" outlineLevel="0" collapsed="false">
      <c r="A13" s="35" t="s">
        <v>137</v>
      </c>
      <c r="B13" s="106"/>
      <c r="C13" s="112" t="n">
        <f aca="false">C9+C11+C12</f>
        <v>6205405</v>
      </c>
      <c r="D13" s="112" t="n">
        <f aca="false">D9+D11+D12</f>
        <v>9965657</v>
      </c>
      <c r="E13" s="112" t="n">
        <f aca="false">E9+E11+E12</f>
        <v>12722552</v>
      </c>
      <c r="F13" s="105"/>
      <c r="G13" s="102"/>
      <c r="H13" s="102"/>
      <c r="I13" s="102"/>
      <c r="J13" s="102"/>
    </row>
    <row r="14" customFormat="false" ht="13.5" hidden="false" customHeight="true" outlineLevel="0" collapsed="false">
      <c r="A14" s="35" t="s">
        <v>138</v>
      </c>
      <c r="B14" s="106"/>
      <c r="C14" s="93" t="n">
        <v>-797415</v>
      </c>
      <c r="D14" s="93" t="n">
        <v>-1254026</v>
      </c>
      <c r="E14" s="93" t="n">
        <v>-1741351</v>
      </c>
      <c r="F14" s="105"/>
      <c r="G14" s="102"/>
      <c r="H14" s="102"/>
      <c r="I14" s="102"/>
      <c r="J14" s="102"/>
    </row>
    <row r="15" customFormat="false" ht="13.5" hidden="false" customHeight="true" outlineLevel="0" collapsed="false">
      <c r="A15" s="35" t="s">
        <v>139</v>
      </c>
      <c r="B15" s="106"/>
      <c r="C15" s="108" t="n">
        <f aca="false">SUM(C13:C14)</f>
        <v>5407990</v>
      </c>
      <c r="D15" s="108" t="n">
        <f aca="false">D13+D14</f>
        <v>8711631</v>
      </c>
      <c r="E15" s="108" t="n">
        <f aca="false">E13+E14</f>
        <v>10981201</v>
      </c>
      <c r="F15" s="105"/>
      <c r="G15" s="102"/>
      <c r="H15" s="102"/>
      <c r="I15" s="102"/>
      <c r="J15" s="102"/>
    </row>
    <row r="16" customFormat="false" ht="13.5" hidden="false" customHeight="true" outlineLevel="0" collapsed="false">
      <c r="A16" s="113"/>
      <c r="B16" s="113"/>
      <c r="C16" s="113"/>
      <c r="D16" s="114"/>
      <c r="E16" s="114"/>
      <c r="F16" s="105"/>
      <c r="G16" s="102"/>
      <c r="H16" s="102"/>
      <c r="I16" s="102"/>
      <c r="J16" s="102"/>
    </row>
    <row r="17" customFormat="false" ht="13.5" hidden="false" customHeight="true" outlineLevel="0" collapsed="false">
      <c r="A17" s="35" t="s">
        <v>140</v>
      </c>
      <c r="B17" s="106"/>
      <c r="C17" s="113"/>
      <c r="D17" s="106"/>
      <c r="E17" s="115"/>
      <c r="F17" s="116"/>
      <c r="G17" s="102"/>
      <c r="H17" s="102"/>
      <c r="I17" s="102"/>
      <c r="J17" s="102"/>
    </row>
    <row r="18" customFormat="false" ht="13.5" hidden="false" customHeight="true" outlineLevel="0" collapsed="false">
      <c r="A18" s="35" t="s">
        <v>141</v>
      </c>
      <c r="B18" s="106"/>
      <c r="C18" s="117" t="n">
        <v>1.22</v>
      </c>
      <c r="D18" s="117" t="n">
        <v>2.03</v>
      </c>
      <c r="E18" s="117" t="n">
        <v>2.58</v>
      </c>
      <c r="F18" s="116"/>
      <c r="G18" s="102"/>
      <c r="H18" s="102"/>
      <c r="I18" s="102"/>
      <c r="J18" s="102"/>
    </row>
    <row r="19" customFormat="false" ht="13.5" hidden="false" customHeight="true" outlineLevel="0" collapsed="false">
      <c r="A19" s="35" t="s">
        <v>142</v>
      </c>
      <c r="B19" s="106"/>
      <c r="C19" s="117" t="n">
        <v>1.2</v>
      </c>
      <c r="D19" s="117" t="n">
        <v>1.98</v>
      </c>
      <c r="E19" s="117" t="n">
        <v>2.53</v>
      </c>
      <c r="F19" s="105"/>
      <c r="G19" s="102"/>
      <c r="H19" s="102"/>
      <c r="I19" s="102"/>
      <c r="J19" s="102"/>
    </row>
    <row r="20" customFormat="false" ht="13.5" hidden="false" customHeight="true" outlineLevel="0" collapsed="false">
      <c r="A20" s="35" t="s">
        <v>143</v>
      </c>
      <c r="B20" s="106"/>
      <c r="C20" s="113"/>
      <c r="D20" s="115"/>
      <c r="E20" s="115"/>
      <c r="F20" s="105"/>
      <c r="G20" s="102"/>
      <c r="H20" s="102"/>
      <c r="I20" s="102"/>
      <c r="J20" s="102"/>
    </row>
    <row r="21" customFormat="false" ht="13.5" hidden="false" customHeight="true" outlineLevel="0" collapsed="false">
      <c r="A21" s="35" t="s">
        <v>141</v>
      </c>
      <c r="B21" s="106"/>
      <c r="C21" s="118" t="s">
        <v>144</v>
      </c>
      <c r="D21" s="118" t="s">
        <v>145</v>
      </c>
      <c r="E21" s="118" t="s">
        <v>146</v>
      </c>
      <c r="F21" s="102"/>
      <c r="G21" s="102"/>
      <c r="H21" s="102"/>
      <c r="I21" s="102"/>
      <c r="J21" s="102"/>
    </row>
    <row r="22" customFormat="false" ht="13.5" hidden="false" customHeight="true" outlineLevel="0" collapsed="false">
      <c r="A22" s="35" t="s">
        <v>142</v>
      </c>
      <c r="B22" s="106"/>
      <c r="C22" s="118" t="s">
        <v>147</v>
      </c>
      <c r="D22" s="118" t="s">
        <v>148</v>
      </c>
      <c r="E22" s="118" t="s">
        <v>149</v>
      </c>
      <c r="F22" s="102"/>
      <c r="G22" s="102"/>
      <c r="H22" s="102"/>
      <c r="I22" s="102"/>
      <c r="J22" s="102"/>
    </row>
    <row r="23" customFormat="false" ht="12.75" hidden="false" customHeight="true" outlineLevel="0" collapsed="false">
      <c r="A23" s="17"/>
      <c r="B23" s="17"/>
      <c r="C23" s="17"/>
      <c r="D23" s="119"/>
      <c r="E23" s="119"/>
      <c r="F23" s="102"/>
      <c r="G23" s="102"/>
      <c r="H23" s="102"/>
      <c r="I23" s="102"/>
      <c r="J23" s="102"/>
    </row>
    <row r="24" customFormat="false" ht="12.75" hidden="false" customHeight="true" outlineLevel="0" collapsed="false">
      <c r="A24" s="113"/>
      <c r="B24" s="113"/>
      <c r="C24" s="17"/>
      <c r="D24" s="119"/>
      <c r="E24" s="119"/>
      <c r="F24" s="102"/>
      <c r="G24" s="102"/>
      <c r="H24" s="102"/>
      <c r="I24" s="102"/>
      <c r="J24" s="102"/>
    </row>
    <row r="25" customFormat="false" ht="14.25" hidden="false" customHeight="true" outlineLevel="0" collapsed="false">
      <c r="A25" s="35" t="s">
        <v>139</v>
      </c>
      <c r="B25" s="106"/>
      <c r="C25" s="108" t="n">
        <f aca="false">C15</f>
        <v>5407990</v>
      </c>
      <c r="D25" s="108" t="n">
        <f aca="false">D15</f>
        <v>8711631</v>
      </c>
      <c r="E25" s="108" t="n">
        <f aca="false">E15</f>
        <v>10981201</v>
      </c>
      <c r="F25" s="102"/>
      <c r="G25" s="102"/>
      <c r="H25" s="102"/>
      <c r="I25" s="102"/>
      <c r="J25" s="102"/>
    </row>
    <row r="26" customFormat="false" ht="13.5" hidden="false" customHeight="true" outlineLevel="0" collapsed="false">
      <c r="A26" s="35" t="s">
        <v>150</v>
      </c>
      <c r="B26" s="106"/>
      <c r="C26" s="120"/>
      <c r="D26" s="120"/>
      <c r="E26" s="120"/>
      <c r="F26" s="102"/>
      <c r="G26" s="102"/>
      <c r="H26" s="102"/>
      <c r="I26" s="102"/>
      <c r="J26" s="102"/>
    </row>
    <row r="27" customFormat="false" ht="27.75" hidden="false" customHeight="true" outlineLevel="0" collapsed="false">
      <c r="A27" s="51" t="s">
        <v>151</v>
      </c>
      <c r="B27" s="106"/>
      <c r="C27" s="93" t="n">
        <v>113384</v>
      </c>
      <c r="D27" s="93" t="n">
        <v>-247949</v>
      </c>
      <c r="E27" s="93" t="n">
        <v>72011</v>
      </c>
      <c r="F27" s="102"/>
      <c r="G27" s="102"/>
      <c r="H27" s="102"/>
      <c r="I27" s="102"/>
      <c r="J27" s="102"/>
    </row>
    <row r="28" customFormat="false" ht="38.25" hidden="false" customHeight="true" outlineLevel="0" collapsed="false">
      <c r="A28" s="51" t="s">
        <v>152</v>
      </c>
      <c r="B28" s="106"/>
      <c r="C28" s="120"/>
      <c r="D28" s="93" t="n">
        <v>2511</v>
      </c>
      <c r="E28" s="93" t="n">
        <v>-2511</v>
      </c>
      <c r="F28" s="102"/>
      <c r="G28" s="102"/>
      <c r="H28" s="102"/>
      <c r="I28" s="102"/>
      <c r="J28" s="102"/>
    </row>
    <row r="29" customFormat="false" ht="14.25" hidden="false" customHeight="true" outlineLevel="0" collapsed="false">
      <c r="A29" s="35" t="s">
        <v>153</v>
      </c>
      <c r="B29" s="106"/>
      <c r="C29" s="120"/>
      <c r="D29" s="120"/>
      <c r="E29" s="120"/>
      <c r="F29" s="102"/>
      <c r="G29" s="102"/>
      <c r="H29" s="102"/>
      <c r="I29" s="102"/>
      <c r="J29" s="102"/>
    </row>
    <row r="30" customFormat="false" ht="14.25" hidden="false" customHeight="true" outlineLevel="0" collapsed="false">
      <c r="A30" s="35" t="s">
        <v>154</v>
      </c>
      <c r="B30" s="106"/>
      <c r="C30" s="93" t="n">
        <v>-120023</v>
      </c>
      <c r="D30" s="93" t="n">
        <v>921227</v>
      </c>
      <c r="E30" s="93" t="n">
        <v>-1071168</v>
      </c>
      <c r="F30" s="102"/>
      <c r="G30" s="102"/>
      <c r="H30" s="102"/>
      <c r="I30" s="102"/>
      <c r="J30" s="102"/>
    </row>
    <row r="31" customFormat="false" ht="14.25" hidden="false" customHeight="true" outlineLevel="0" collapsed="false">
      <c r="A31" s="35" t="s">
        <v>155</v>
      </c>
      <c r="B31" s="106"/>
      <c r="C31" s="120"/>
      <c r="D31" s="93" t="n">
        <v>-96795</v>
      </c>
      <c r="E31" s="93" t="n">
        <v>68962</v>
      </c>
      <c r="F31" s="102"/>
      <c r="G31" s="102"/>
      <c r="H31" s="102"/>
      <c r="I31" s="102"/>
      <c r="J31" s="102"/>
    </row>
    <row r="32" customFormat="false" ht="27.75" hidden="false" customHeight="true" outlineLevel="0" collapsed="false">
      <c r="A32" s="121" t="s">
        <v>156</v>
      </c>
      <c r="B32" s="106"/>
      <c r="C32" s="122" t="n">
        <f aca="false">SUM(C30:C31)</f>
        <v>-120023</v>
      </c>
      <c r="D32" s="122" t="n">
        <f aca="false">SUM(D30:D31)</f>
        <v>824432</v>
      </c>
      <c r="E32" s="122" t="n">
        <f aca="false">SUM(E30:E31)</f>
        <v>-1002206</v>
      </c>
      <c r="F32" s="102"/>
      <c r="G32" s="102"/>
      <c r="H32" s="102"/>
      <c r="I32" s="102"/>
      <c r="J32" s="102"/>
    </row>
    <row r="33" customFormat="false" ht="14.25" hidden="false" customHeight="true" outlineLevel="0" collapsed="false">
      <c r="A33" s="35" t="s">
        <v>157</v>
      </c>
      <c r="B33" s="106"/>
      <c r="C33" s="120"/>
      <c r="D33" s="120"/>
      <c r="E33" s="120"/>
      <c r="F33" s="102"/>
      <c r="G33" s="102"/>
      <c r="H33" s="102"/>
      <c r="I33" s="102"/>
      <c r="J33" s="102"/>
    </row>
    <row r="34" customFormat="false" ht="42" hidden="false" customHeight="true" outlineLevel="0" collapsed="false">
      <c r="A34" s="51" t="s">
        <v>158</v>
      </c>
      <c r="B34" s="106"/>
      <c r="C34" s="120"/>
      <c r="D34" s="93" t="n">
        <v>7113</v>
      </c>
      <c r="E34" s="93" t="n">
        <v>-9838</v>
      </c>
      <c r="F34" s="102"/>
      <c r="G34" s="102"/>
      <c r="H34" s="102"/>
      <c r="I34" s="102"/>
      <c r="J34" s="102"/>
    </row>
    <row r="35" customFormat="false" ht="14.25" hidden="false" customHeight="true" outlineLevel="0" collapsed="false">
      <c r="A35" s="35" t="s">
        <v>159</v>
      </c>
      <c r="B35" s="106"/>
      <c r="C35" s="122" t="n">
        <f aca="false">C27+C28+C32+C34</f>
        <v>-6639</v>
      </c>
      <c r="D35" s="122" t="n">
        <f aca="false">D27+D28+D32+D34</f>
        <v>586107</v>
      </c>
      <c r="E35" s="122" t="n">
        <f aca="false">E27+E28+E32+E34</f>
        <v>-942544</v>
      </c>
      <c r="F35" s="102"/>
      <c r="G35" s="102"/>
      <c r="H35" s="102"/>
      <c r="I35" s="102"/>
      <c r="J35" s="102"/>
    </row>
    <row r="36" customFormat="false" ht="15" hidden="false" customHeight="true" outlineLevel="0" collapsed="false">
      <c r="A36" s="35" t="s">
        <v>160</v>
      </c>
      <c r="B36" s="106"/>
      <c r="C36" s="123" t="n">
        <f aca="false">C25+C35</f>
        <v>5401351</v>
      </c>
      <c r="D36" s="123" t="n">
        <f aca="false">D25+D35</f>
        <v>9297738</v>
      </c>
      <c r="E36" s="123" t="n">
        <f aca="false">E25+E35</f>
        <v>10038657</v>
      </c>
      <c r="F36" s="102"/>
      <c r="G36" s="102"/>
      <c r="H36" s="102"/>
      <c r="I36" s="102"/>
      <c r="J36" s="102"/>
    </row>
    <row r="37" customFormat="false" ht="12.75" hidden="false" customHeight="true" outlineLevel="0" collapsed="false">
      <c r="A37" s="17"/>
      <c r="B37" s="17"/>
      <c r="C37" s="17"/>
      <c r="D37" s="102"/>
      <c r="E37" s="102"/>
      <c r="F37" s="102"/>
      <c r="G37" s="102"/>
      <c r="H37" s="102"/>
      <c r="I37" s="102"/>
      <c r="J37" s="102"/>
    </row>
    <row r="38" customFormat="false" ht="12.75" hidden="false" customHeight="true" outlineLevel="0" collapsed="false">
      <c r="A38" s="17"/>
      <c r="B38" s="17"/>
      <c r="C38" s="17"/>
      <c r="D38" s="102"/>
      <c r="E38" s="102"/>
      <c r="F38" s="102"/>
      <c r="G38" s="102"/>
      <c r="H38" s="102"/>
      <c r="I38" s="102"/>
      <c r="J38" s="102"/>
    </row>
    <row r="39" customFormat="false" ht="12.75" hidden="false" customHeight="true" outlineLevel="0" collapsed="false">
      <c r="A39" s="17"/>
      <c r="B39" s="17"/>
      <c r="C39" s="17"/>
      <c r="D39" s="102"/>
      <c r="E39" s="102"/>
      <c r="F39" s="102"/>
      <c r="G39" s="102"/>
      <c r="H39" s="102"/>
      <c r="I39" s="102"/>
      <c r="J39" s="102"/>
    </row>
    <row r="40" customFormat="false" ht="12.75" hidden="false" customHeight="true" outlineLevel="0" collapsed="false">
      <c r="A40" s="17"/>
      <c r="B40" s="17"/>
      <c r="C40" s="17"/>
      <c r="D40" s="102"/>
      <c r="E40" s="102"/>
      <c r="F40" s="102"/>
      <c r="G40" s="102"/>
      <c r="H40" s="102"/>
      <c r="I40" s="102"/>
      <c r="J40" s="102"/>
    </row>
    <row r="41" customFormat="false" ht="12.75" hidden="false" customHeight="true" outlineLevel="0" collapsed="false">
      <c r="A41" s="17"/>
      <c r="B41" s="17"/>
      <c r="C41" s="17"/>
      <c r="D41" s="102"/>
      <c r="E41" s="102"/>
      <c r="F41" s="102"/>
      <c r="G41" s="102"/>
      <c r="H41" s="102"/>
      <c r="I41" s="102"/>
      <c r="J41" s="102"/>
    </row>
    <row r="42" customFormat="false" ht="12.75" hidden="false" customHeight="true" outlineLevel="0" collapsed="false">
      <c r="A42" s="17"/>
      <c r="B42" s="17"/>
      <c r="C42" s="17"/>
      <c r="D42" s="102"/>
      <c r="E42" s="102"/>
      <c r="F42" s="102"/>
      <c r="G42" s="102"/>
      <c r="H42" s="102"/>
      <c r="I42" s="102"/>
      <c r="J42" s="102"/>
    </row>
    <row r="43" customFormat="false" ht="12.75" hidden="false" customHeight="true" outlineLevel="0" collapsed="false">
      <c r="A43" s="17"/>
      <c r="B43" s="17"/>
      <c r="C43" s="17"/>
      <c r="D43" s="102"/>
      <c r="E43" s="102"/>
      <c r="F43" s="102"/>
      <c r="G43" s="102"/>
      <c r="H43" s="102"/>
      <c r="I43" s="102"/>
      <c r="J43" s="102"/>
    </row>
    <row r="44" customFormat="false" ht="12.75" hidden="false" customHeight="true" outlineLevel="0" collapsed="false">
      <c r="A44" s="17"/>
      <c r="B44" s="17"/>
      <c r="C44" s="17"/>
      <c r="D44" s="102"/>
      <c r="E44" s="102"/>
      <c r="F44" s="102"/>
      <c r="G44" s="102"/>
      <c r="H44" s="102"/>
      <c r="I44" s="102"/>
      <c r="J44" s="102"/>
    </row>
    <row r="45" customFormat="false" ht="12.75" hidden="false" customHeight="true" outlineLevel="0" collapsed="false">
      <c r="A45" s="17"/>
      <c r="B45" s="17"/>
      <c r="C45" s="17"/>
      <c r="D45" s="102"/>
      <c r="E45" s="102"/>
      <c r="F45" s="102"/>
      <c r="G45" s="102"/>
      <c r="H45" s="102"/>
      <c r="I45" s="102"/>
      <c r="J45" s="102"/>
    </row>
    <row r="46" customFormat="false" ht="12.75" hidden="false" customHeight="true" outlineLevel="0" collapsed="false">
      <c r="A46" s="17"/>
      <c r="B46" s="17"/>
      <c r="C46" s="17"/>
      <c r="D46" s="102"/>
      <c r="E46" s="102"/>
      <c r="F46" s="102"/>
      <c r="G46" s="102"/>
      <c r="H46" s="102"/>
      <c r="I46" s="102"/>
      <c r="J46" s="102"/>
    </row>
    <row r="47" customFormat="false" ht="12.75" hidden="false" customHeight="true" outlineLevel="0" collapsed="false">
      <c r="A47" s="17"/>
      <c r="B47" s="17"/>
      <c r="C47" s="17"/>
      <c r="D47" s="102"/>
      <c r="E47" s="102"/>
      <c r="F47" s="102"/>
      <c r="G47" s="102"/>
      <c r="H47" s="102"/>
      <c r="I47" s="102"/>
      <c r="J47" s="102"/>
    </row>
    <row r="48" customFormat="false" ht="12.75" hidden="false" customHeight="true" outlineLevel="0" collapsed="false">
      <c r="A48" s="17"/>
      <c r="B48" s="17"/>
      <c r="C48" s="17"/>
      <c r="D48" s="102"/>
      <c r="E48" s="102"/>
      <c r="F48" s="102"/>
      <c r="G48" s="102"/>
      <c r="H48" s="102"/>
      <c r="I48" s="102"/>
      <c r="J48" s="102"/>
    </row>
    <row r="49" customFormat="false" ht="12.75" hidden="false" customHeight="true" outlineLevel="0" collapsed="false">
      <c r="A49" s="17"/>
      <c r="B49" s="17"/>
      <c r="C49" s="17"/>
      <c r="D49" s="102"/>
      <c r="E49" s="102"/>
      <c r="F49" s="102"/>
      <c r="G49" s="102"/>
      <c r="H49" s="102"/>
      <c r="I49" s="102"/>
      <c r="J49" s="102"/>
    </row>
    <row r="50" customFormat="false" ht="12.75" hidden="false" customHeight="true" outlineLevel="0" collapsed="false">
      <c r="A50" s="17"/>
      <c r="B50" s="17"/>
      <c r="C50" s="17"/>
      <c r="D50" s="102"/>
      <c r="E50" s="102"/>
      <c r="F50" s="102"/>
      <c r="G50" s="102"/>
      <c r="H50" s="102"/>
      <c r="I50" s="102"/>
      <c r="J50" s="102"/>
    </row>
    <row r="51" customFormat="false" ht="12.75" hidden="false" customHeight="true" outlineLevel="0" collapsed="false">
      <c r="A51" s="17"/>
      <c r="B51" s="17"/>
      <c r="C51" s="17"/>
      <c r="D51" s="102"/>
      <c r="E51" s="102"/>
      <c r="F51" s="102"/>
      <c r="G51" s="102"/>
      <c r="H51" s="102"/>
      <c r="I51" s="102"/>
      <c r="J51" s="102"/>
    </row>
    <row r="52" customFormat="false" ht="12.75" hidden="false" customHeight="true" outlineLevel="0" collapsed="false">
      <c r="A52" s="17"/>
      <c r="B52" s="17"/>
      <c r="C52" s="17"/>
      <c r="D52" s="102"/>
      <c r="E52" s="102"/>
      <c r="F52" s="102"/>
      <c r="G52" s="102"/>
      <c r="H52" s="102"/>
      <c r="I52" s="102"/>
      <c r="J52" s="102"/>
    </row>
    <row r="53" customFormat="false" ht="12.75" hidden="false" customHeight="true" outlineLevel="0" collapsed="false">
      <c r="A53" s="17"/>
      <c r="B53" s="17"/>
      <c r="C53" s="17"/>
      <c r="D53" s="102"/>
      <c r="E53" s="102"/>
      <c r="F53" s="102"/>
      <c r="G53" s="102"/>
      <c r="H53" s="102"/>
      <c r="I53" s="102"/>
      <c r="J53" s="102"/>
    </row>
    <row r="54" customFormat="false" ht="12.75" hidden="false" customHeight="true" outlineLevel="0" collapsed="false">
      <c r="A54" s="17"/>
      <c r="B54" s="17"/>
      <c r="C54" s="17"/>
      <c r="D54" s="102"/>
      <c r="E54" s="102"/>
      <c r="F54" s="102"/>
      <c r="G54" s="102"/>
      <c r="H54" s="102"/>
      <c r="I54" s="102"/>
      <c r="J54" s="102"/>
    </row>
    <row r="55" customFormat="false" ht="12.75" hidden="false" customHeight="true" outlineLevel="0" collapsed="false">
      <c r="A55" s="17"/>
      <c r="B55" s="17"/>
      <c r="C55" s="17"/>
      <c r="D55" s="102"/>
      <c r="E55" s="102"/>
      <c r="F55" s="102"/>
      <c r="G55" s="102"/>
      <c r="H55" s="102"/>
      <c r="I55" s="102"/>
      <c r="J55" s="102"/>
    </row>
    <row r="56" customFormat="false" ht="12.75" hidden="false" customHeight="true" outlineLevel="0" collapsed="false">
      <c r="A56" s="17"/>
      <c r="B56" s="17"/>
      <c r="C56" s="17"/>
      <c r="D56" s="102"/>
      <c r="E56" s="102"/>
      <c r="F56" s="102"/>
      <c r="G56" s="102"/>
      <c r="H56" s="102"/>
      <c r="I56" s="102"/>
      <c r="J56" s="102"/>
    </row>
    <row r="57" customFormat="false" ht="12.75" hidden="false" customHeight="true" outlineLevel="0" collapsed="false">
      <c r="A57" s="17"/>
      <c r="B57" s="17"/>
      <c r="C57" s="17"/>
      <c r="D57" s="102"/>
      <c r="E57" s="102"/>
      <c r="F57" s="102"/>
      <c r="G57" s="102"/>
      <c r="H57" s="102"/>
      <c r="I57" s="102"/>
      <c r="J57" s="102"/>
    </row>
    <row r="58" customFormat="false" ht="12.75" hidden="false" customHeight="true" outlineLevel="0" collapsed="false">
      <c r="A58" s="17"/>
      <c r="B58" s="17"/>
      <c r="C58" s="17"/>
      <c r="D58" s="102"/>
      <c r="E58" s="102"/>
      <c r="F58" s="102"/>
      <c r="G58" s="102"/>
      <c r="H58" s="102"/>
      <c r="I58" s="102"/>
      <c r="J58" s="102"/>
    </row>
    <row r="59" customFormat="false" ht="12.75" hidden="false" customHeight="true" outlineLevel="0" collapsed="false">
      <c r="A59" s="17"/>
      <c r="B59" s="17"/>
      <c r="C59" s="17"/>
      <c r="D59" s="102"/>
      <c r="E59" s="102"/>
      <c r="F59" s="102"/>
      <c r="G59" s="102"/>
      <c r="H59" s="102"/>
      <c r="I59" s="102"/>
      <c r="J59" s="102"/>
    </row>
    <row r="60" customFormat="false" ht="12.75" hidden="false" customHeight="true" outlineLevel="0" collapsed="false">
      <c r="A60" s="17"/>
      <c r="B60" s="17"/>
      <c r="C60" s="17"/>
      <c r="D60" s="102"/>
      <c r="E60" s="102"/>
      <c r="F60" s="102"/>
      <c r="G60" s="102"/>
      <c r="H60" s="102"/>
      <c r="I60" s="102"/>
      <c r="J60" s="102"/>
    </row>
    <row r="61" customFormat="false" ht="12.75" hidden="false" customHeight="true" outlineLevel="0" collapsed="false">
      <c r="A61" s="17"/>
      <c r="B61" s="17"/>
      <c r="C61" s="17"/>
      <c r="D61" s="102"/>
      <c r="E61" s="102"/>
      <c r="F61" s="102"/>
      <c r="G61" s="102"/>
      <c r="H61" s="102"/>
      <c r="I61" s="102"/>
      <c r="J61" s="102"/>
    </row>
    <row r="62" customFormat="false" ht="12.75" hidden="false" customHeight="true" outlineLevel="0" collapsed="false">
      <c r="A62" s="17"/>
      <c r="B62" s="17"/>
      <c r="C62" s="17"/>
      <c r="D62" s="102"/>
      <c r="E62" s="102"/>
      <c r="F62" s="102"/>
      <c r="G62" s="102"/>
      <c r="H62" s="102"/>
      <c r="I62" s="102"/>
      <c r="J62" s="102"/>
    </row>
    <row r="63" customFormat="false" ht="12.75" hidden="false" customHeight="true" outlineLevel="0" collapsed="false">
      <c r="A63" s="17"/>
      <c r="B63" s="17"/>
      <c r="C63" s="17"/>
      <c r="D63" s="102"/>
      <c r="E63" s="102"/>
      <c r="F63" s="102"/>
      <c r="G63" s="102"/>
      <c r="H63" s="102"/>
      <c r="I63" s="102"/>
      <c r="J63" s="102"/>
    </row>
    <row r="64" customFormat="false" ht="12.75" hidden="false" customHeight="true" outlineLevel="0" collapsed="false">
      <c r="A64" s="17"/>
      <c r="B64" s="17"/>
      <c r="C64" s="17"/>
      <c r="D64" s="102"/>
      <c r="E64" s="102"/>
      <c r="F64" s="102"/>
      <c r="G64" s="102"/>
      <c r="H64" s="102"/>
      <c r="I64" s="102"/>
      <c r="J64" s="102"/>
    </row>
    <row r="65" customFormat="false" ht="12.75" hidden="false" customHeight="true" outlineLevel="0" collapsed="false">
      <c r="A65" s="17"/>
      <c r="B65" s="17"/>
      <c r="C65" s="17"/>
      <c r="D65" s="102"/>
      <c r="E65" s="102"/>
      <c r="F65" s="102"/>
      <c r="G65" s="102"/>
      <c r="H65" s="102"/>
      <c r="I65" s="102"/>
      <c r="J65" s="102"/>
    </row>
    <row r="66" customFormat="false" ht="12.75" hidden="false" customHeight="true" outlineLevel="0" collapsed="false">
      <c r="A66" s="17"/>
      <c r="B66" s="17"/>
      <c r="C66" s="17"/>
      <c r="D66" s="102"/>
      <c r="E66" s="102"/>
      <c r="F66" s="102"/>
      <c r="G66" s="102"/>
      <c r="H66" s="102"/>
      <c r="I66" s="102"/>
      <c r="J66" s="102"/>
    </row>
    <row r="67" customFormat="false" ht="12.75" hidden="false" customHeight="true" outlineLevel="0" collapsed="false">
      <c r="A67" s="17"/>
      <c r="B67" s="17"/>
      <c r="C67" s="17"/>
      <c r="D67" s="102"/>
      <c r="E67" s="102"/>
      <c r="F67" s="102"/>
      <c r="G67" s="102"/>
      <c r="H67" s="102"/>
      <c r="I67" s="102"/>
      <c r="J67" s="102"/>
    </row>
    <row r="68" customFormat="false" ht="12.75" hidden="false" customHeight="true" outlineLevel="0" collapsed="false">
      <c r="A68" s="17"/>
      <c r="B68" s="17"/>
      <c r="C68" s="17"/>
      <c r="D68" s="102"/>
      <c r="E68" s="102"/>
      <c r="F68" s="102"/>
      <c r="G68" s="102"/>
      <c r="H68" s="102"/>
      <c r="I68" s="102"/>
      <c r="J68" s="102"/>
    </row>
    <row r="69" customFormat="false" ht="12.75" hidden="false" customHeight="true" outlineLevel="0" collapsed="false">
      <c r="A69" s="17"/>
      <c r="B69" s="17"/>
      <c r="C69" s="17"/>
      <c r="D69" s="102"/>
      <c r="E69" s="102"/>
      <c r="F69" s="102"/>
      <c r="G69" s="102"/>
      <c r="H69" s="102"/>
      <c r="I69" s="102"/>
      <c r="J69" s="102"/>
    </row>
    <row r="70" customFormat="false" ht="12.75" hidden="false" customHeight="true" outlineLevel="0" collapsed="false">
      <c r="A70" s="17"/>
      <c r="B70" s="17"/>
      <c r="C70" s="17"/>
      <c r="D70" s="102"/>
      <c r="E70" s="102"/>
      <c r="F70" s="102"/>
      <c r="G70" s="102"/>
      <c r="H70" s="102"/>
      <c r="I70" s="102"/>
      <c r="J70" s="102"/>
    </row>
    <row r="71" customFormat="false" ht="12.75" hidden="false" customHeight="true" outlineLevel="0" collapsed="false">
      <c r="A71" s="17"/>
      <c r="B71" s="17"/>
      <c r="C71" s="17"/>
      <c r="D71" s="102"/>
      <c r="E71" s="102"/>
      <c r="F71" s="102"/>
      <c r="G71" s="102"/>
      <c r="H71" s="102"/>
      <c r="I71" s="102"/>
      <c r="J71" s="102"/>
    </row>
    <row r="72" customFormat="false" ht="12.75" hidden="false" customHeight="true" outlineLevel="0" collapsed="false">
      <c r="A72" s="17"/>
      <c r="B72" s="17"/>
      <c r="C72" s="17"/>
      <c r="D72" s="102"/>
      <c r="E72" s="102"/>
      <c r="F72" s="102"/>
      <c r="G72" s="102"/>
      <c r="H72" s="102"/>
      <c r="I72" s="102"/>
      <c r="J72" s="102"/>
    </row>
    <row r="73" customFormat="false" ht="12.75" hidden="false" customHeight="true" outlineLevel="0" collapsed="false">
      <c r="A73" s="17"/>
      <c r="B73" s="17"/>
      <c r="C73" s="17"/>
      <c r="D73" s="102"/>
      <c r="E73" s="102"/>
      <c r="F73" s="102"/>
      <c r="G73" s="102"/>
      <c r="H73" s="102"/>
      <c r="I73" s="102"/>
      <c r="J73" s="102"/>
    </row>
    <row r="74" customFormat="false" ht="12.75" hidden="false" customHeight="true" outlineLevel="0" collapsed="false">
      <c r="A74" s="17"/>
      <c r="B74" s="17"/>
      <c r="C74" s="17"/>
      <c r="D74" s="102"/>
      <c r="E74" s="102"/>
      <c r="F74" s="102"/>
      <c r="G74" s="102"/>
      <c r="H74" s="102"/>
      <c r="I74" s="102"/>
      <c r="J74" s="102"/>
    </row>
    <row r="75" customFormat="false" ht="12.75" hidden="false" customHeight="true" outlineLevel="0" collapsed="false">
      <c r="A75" s="17"/>
      <c r="B75" s="17"/>
      <c r="C75" s="17"/>
      <c r="D75" s="102"/>
      <c r="E75" s="102"/>
      <c r="F75" s="102"/>
      <c r="G75" s="102"/>
      <c r="H75" s="102"/>
      <c r="I75" s="102"/>
      <c r="J75" s="102"/>
    </row>
    <row r="76" customFormat="false" ht="12.75" hidden="false" customHeight="true" outlineLevel="0" collapsed="false">
      <c r="A76" s="17"/>
      <c r="B76" s="17"/>
      <c r="C76" s="17"/>
      <c r="D76" s="102"/>
      <c r="E76" s="102"/>
      <c r="F76" s="102"/>
      <c r="G76" s="102"/>
      <c r="H76" s="102"/>
      <c r="I76" s="102"/>
      <c r="J76" s="102"/>
    </row>
    <row r="77" customFormat="false" ht="12.75" hidden="false" customHeight="true" outlineLevel="0" collapsed="false">
      <c r="A77" s="17"/>
      <c r="B77" s="17"/>
      <c r="C77" s="17"/>
      <c r="D77" s="102"/>
      <c r="E77" s="102"/>
      <c r="F77" s="102"/>
      <c r="G77" s="102"/>
      <c r="H77" s="102"/>
      <c r="I77" s="102"/>
      <c r="J77" s="102"/>
    </row>
    <row r="78" customFormat="false" ht="12.75" hidden="false" customHeight="true" outlineLevel="0" collapsed="false">
      <c r="A78" s="17"/>
      <c r="B78" s="17"/>
      <c r="C78" s="17"/>
      <c r="D78" s="102"/>
      <c r="E78" s="102"/>
      <c r="F78" s="102"/>
      <c r="G78" s="102"/>
      <c r="H78" s="102"/>
      <c r="I78" s="102"/>
      <c r="J78" s="102"/>
    </row>
    <row r="79" customFormat="false" ht="12.75" hidden="false" customHeight="true" outlineLevel="0" collapsed="false">
      <c r="A79" s="17"/>
      <c r="B79" s="17"/>
      <c r="C79" s="17"/>
      <c r="D79" s="102"/>
      <c r="E79" s="102"/>
      <c r="F79" s="102"/>
      <c r="G79" s="102"/>
      <c r="H79" s="102"/>
      <c r="I79" s="102"/>
      <c r="J79" s="102"/>
    </row>
    <row r="80" customFormat="false" ht="12.75" hidden="false" customHeight="true" outlineLevel="0" collapsed="false">
      <c r="A80" s="17"/>
      <c r="B80" s="17"/>
      <c r="C80" s="17"/>
      <c r="D80" s="102"/>
      <c r="E80" s="102"/>
      <c r="F80" s="102"/>
      <c r="G80" s="102"/>
      <c r="H80" s="102"/>
      <c r="I80" s="102"/>
      <c r="J80" s="102"/>
    </row>
    <row r="81" customFormat="false" ht="12.75" hidden="false" customHeight="true" outlineLevel="0" collapsed="false">
      <c r="A81" s="17"/>
      <c r="B81" s="17"/>
      <c r="C81" s="17"/>
      <c r="D81" s="102"/>
      <c r="E81" s="102"/>
      <c r="F81" s="102"/>
      <c r="G81" s="102"/>
      <c r="H81" s="102"/>
      <c r="I81" s="102"/>
      <c r="J81" s="102"/>
    </row>
    <row r="82" customFormat="false" ht="12.75" hidden="false" customHeight="true" outlineLevel="0" collapsed="false">
      <c r="A82" s="17"/>
      <c r="B82" s="17"/>
      <c r="C82" s="17"/>
      <c r="D82" s="102"/>
      <c r="E82" s="102"/>
      <c r="F82" s="102"/>
      <c r="G82" s="102"/>
      <c r="H82" s="102"/>
      <c r="I82" s="102"/>
      <c r="J82" s="102"/>
    </row>
    <row r="83" customFormat="false" ht="12.75" hidden="false" customHeight="true" outlineLevel="0" collapsed="false">
      <c r="A83" s="17"/>
      <c r="B83" s="17"/>
      <c r="C83" s="17"/>
      <c r="D83" s="102"/>
      <c r="E83" s="102"/>
      <c r="F83" s="102"/>
      <c r="G83" s="102"/>
      <c r="H83" s="102"/>
      <c r="I83" s="102"/>
      <c r="J83" s="102"/>
    </row>
    <row r="84" customFormat="false" ht="12.75" hidden="false" customHeight="true" outlineLevel="0" collapsed="false">
      <c r="A84" s="17"/>
      <c r="B84" s="17"/>
      <c r="C84" s="17"/>
      <c r="D84" s="102"/>
      <c r="E84" s="102"/>
      <c r="F84" s="102"/>
      <c r="G84" s="102"/>
      <c r="H84" s="102"/>
      <c r="I84" s="102"/>
      <c r="J84" s="102"/>
    </row>
    <row r="85" customFormat="false" ht="12.75" hidden="false" customHeight="true" outlineLevel="0" collapsed="false">
      <c r="A85" s="17"/>
      <c r="B85" s="17"/>
      <c r="C85" s="17"/>
      <c r="D85" s="102"/>
      <c r="E85" s="102"/>
      <c r="F85" s="102"/>
      <c r="G85" s="102"/>
      <c r="H85" s="102"/>
      <c r="I85" s="102"/>
      <c r="J85" s="102"/>
    </row>
    <row r="86" customFormat="false" ht="12.75" hidden="false" customHeight="true" outlineLevel="0" collapsed="false">
      <c r="A86" s="17"/>
      <c r="B86" s="17"/>
      <c r="C86" s="17"/>
      <c r="D86" s="102"/>
      <c r="E86" s="102"/>
      <c r="F86" s="102"/>
      <c r="G86" s="102"/>
      <c r="H86" s="102"/>
      <c r="I86" s="102"/>
      <c r="J86" s="102"/>
    </row>
    <row r="87" customFormat="false" ht="12.75" hidden="false" customHeight="true" outlineLevel="0" collapsed="false">
      <c r="A87" s="17"/>
      <c r="B87" s="17"/>
      <c r="C87" s="17"/>
      <c r="D87" s="102"/>
      <c r="E87" s="102"/>
      <c r="F87" s="102"/>
      <c r="G87" s="102"/>
      <c r="H87" s="102"/>
      <c r="I87" s="102"/>
      <c r="J87" s="102"/>
    </row>
    <row r="88" customFormat="false" ht="12.75" hidden="false" customHeight="true" outlineLevel="0" collapsed="false">
      <c r="A88" s="17"/>
      <c r="B88" s="17"/>
      <c r="C88" s="17"/>
      <c r="D88" s="102"/>
      <c r="E88" s="102"/>
      <c r="F88" s="102"/>
      <c r="G88" s="102"/>
      <c r="H88" s="102"/>
      <c r="I88" s="102"/>
      <c r="J88" s="102"/>
    </row>
    <row r="89" customFormat="false" ht="12.75" hidden="false" customHeight="true" outlineLevel="0" collapsed="false">
      <c r="A89" s="17"/>
      <c r="B89" s="17"/>
      <c r="C89" s="17"/>
      <c r="D89" s="102"/>
      <c r="E89" s="102"/>
      <c r="F89" s="102"/>
      <c r="G89" s="102"/>
      <c r="H89" s="102"/>
      <c r="I89" s="102"/>
      <c r="J89" s="102"/>
    </row>
    <row r="90" customFormat="false" ht="12.75" hidden="false" customHeight="true" outlineLevel="0" collapsed="false">
      <c r="A90" s="17"/>
      <c r="B90" s="17"/>
      <c r="C90" s="17"/>
      <c r="D90" s="102"/>
      <c r="E90" s="102"/>
      <c r="F90" s="102"/>
      <c r="G90" s="102"/>
      <c r="H90" s="102"/>
      <c r="I90" s="102"/>
      <c r="J90" s="102"/>
    </row>
    <row r="91" customFormat="false" ht="12.75" hidden="false" customHeight="true" outlineLevel="0" collapsed="false">
      <c r="A91" s="17"/>
      <c r="B91" s="17"/>
      <c r="C91" s="17"/>
      <c r="D91" s="102"/>
      <c r="E91" s="102"/>
      <c r="F91" s="102"/>
      <c r="G91" s="102"/>
      <c r="H91" s="102"/>
      <c r="I91" s="102"/>
      <c r="J91" s="10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K10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2" activeCellId="0" sqref="A2"/>
    </sheetView>
  </sheetViews>
  <sheetFormatPr defaultColWidth="14.45703125" defaultRowHeight="14.25" zeroHeight="false" outlineLevelRow="0" outlineLevelCol="0"/>
  <cols>
    <col collapsed="false" customWidth="true" hidden="false" outlineLevel="0" max="1" min="1" style="15" width="52"/>
    <col collapsed="false" customWidth="true" hidden="false" outlineLevel="0" max="4" min="2" style="15" width="13.36"/>
    <col collapsed="false" customWidth="true" hidden="false" outlineLevel="0" max="7" min="5" style="15" width="14"/>
    <col collapsed="false" customWidth="true" hidden="false" outlineLevel="0" max="8" min="8" style="15" width="12"/>
    <col collapsed="false" customWidth="true" hidden="false" outlineLevel="0" max="11" min="9" style="15" width="14"/>
  </cols>
  <sheetData>
    <row r="1" customFormat="false" ht="24.75" hidden="false" customHeight="true" outlineLevel="0" collapsed="false">
      <c r="A1" s="34" t="s">
        <v>161</v>
      </c>
      <c r="B1" s="17"/>
      <c r="C1" s="17"/>
      <c r="D1" s="17"/>
      <c r="E1" s="34" t="s">
        <v>162</v>
      </c>
      <c r="F1" s="102"/>
      <c r="G1" s="102"/>
      <c r="H1" s="102"/>
      <c r="I1" s="102"/>
      <c r="J1" s="102"/>
      <c r="K1" s="102"/>
    </row>
    <row r="2" customFormat="false" ht="12" hidden="false" customHeight="true" outlineLevel="0" collapsed="false">
      <c r="A2" s="102"/>
      <c r="B2" s="102"/>
      <c r="C2" s="102"/>
      <c r="D2" s="102"/>
      <c r="E2" s="102"/>
      <c r="F2" s="102"/>
      <c r="G2" s="102"/>
      <c r="H2" s="102"/>
      <c r="I2" s="102"/>
      <c r="J2" s="102"/>
      <c r="K2" s="102"/>
    </row>
    <row r="3" customFormat="false" ht="12.75" hidden="false" customHeight="true" outlineLevel="0" collapsed="false">
      <c r="A3" s="19"/>
      <c r="B3" s="104" t="n">
        <v>2023</v>
      </c>
      <c r="C3" s="104" t="n">
        <v>2024</v>
      </c>
      <c r="D3" s="104" t="n">
        <v>2025</v>
      </c>
      <c r="E3" s="102"/>
      <c r="F3" s="102"/>
      <c r="G3" s="102"/>
      <c r="H3" s="102"/>
      <c r="I3" s="102"/>
      <c r="J3" s="102"/>
      <c r="K3" s="102"/>
    </row>
    <row r="4" customFormat="false" ht="12.75" hidden="false" customHeight="true" outlineLevel="0" collapsed="false">
      <c r="A4" s="46" t="s">
        <v>163</v>
      </c>
      <c r="B4" s="115"/>
      <c r="C4" s="115"/>
      <c r="D4" s="115"/>
      <c r="G4" s="102"/>
      <c r="H4" s="102"/>
      <c r="I4" s="102"/>
      <c r="J4" s="102"/>
      <c r="K4" s="102"/>
    </row>
    <row r="5" customFormat="false" ht="12.75" hidden="false" customHeight="true" outlineLevel="0" collapsed="false">
      <c r="A5" s="35" t="s">
        <v>164</v>
      </c>
      <c r="B5" s="17"/>
      <c r="C5" s="19"/>
      <c r="D5" s="19"/>
      <c r="G5" s="102"/>
      <c r="H5" s="102"/>
      <c r="I5" s="102"/>
      <c r="J5" s="102"/>
      <c r="K5" s="102"/>
    </row>
    <row r="6" customFormat="false" ht="12.75" hidden="false" customHeight="true" outlineLevel="0" collapsed="false">
      <c r="A6" s="35" t="s">
        <v>165</v>
      </c>
      <c r="B6" s="93" t="n">
        <v>7116913</v>
      </c>
      <c r="C6" s="93" t="n">
        <v>7804733</v>
      </c>
      <c r="D6" s="93" t="n">
        <v>9033681</v>
      </c>
      <c r="F6" s="35" t="s">
        <v>166</v>
      </c>
      <c r="G6" s="102"/>
      <c r="H6" s="102"/>
      <c r="I6" s="102"/>
      <c r="J6" s="102"/>
      <c r="K6" s="102"/>
    </row>
    <row r="7" customFormat="false" ht="12.75" hidden="false" customHeight="true" outlineLevel="0" collapsed="false">
      <c r="A7" s="35" t="s">
        <v>167</v>
      </c>
      <c r="B7" s="93" t="n">
        <v>20973</v>
      </c>
      <c r="C7" s="93" t="n">
        <v>1779006</v>
      </c>
      <c r="D7" s="93" t="n">
        <v>28678</v>
      </c>
      <c r="G7" s="102"/>
      <c r="H7" s="102"/>
      <c r="I7" s="102"/>
      <c r="J7" s="102"/>
      <c r="K7" s="102"/>
    </row>
    <row r="8" customFormat="false" ht="12.75" hidden="false" customHeight="true" outlineLevel="0" collapsed="false">
      <c r="A8" s="35" t="s">
        <v>168</v>
      </c>
      <c r="B8" s="107" t="n">
        <v>2780247</v>
      </c>
      <c r="C8" s="107" t="n">
        <v>3516640</v>
      </c>
      <c r="D8" s="107" t="n">
        <v>3957832</v>
      </c>
      <c r="F8" s="35" t="s">
        <v>169</v>
      </c>
      <c r="G8" s="102"/>
      <c r="H8" s="102"/>
      <c r="I8" s="102"/>
      <c r="J8" s="102"/>
      <c r="K8" s="102"/>
    </row>
    <row r="9" customFormat="false" ht="12.75" hidden="false" customHeight="true" outlineLevel="0" collapsed="false">
      <c r="A9" s="35" t="s">
        <v>170</v>
      </c>
      <c r="B9" s="112" t="n">
        <f aca="false">SUM(B6:B8)</f>
        <v>9918133</v>
      </c>
      <c r="C9" s="112" t="n">
        <f aca="false">SUM(C6:C8)</f>
        <v>13100379</v>
      </c>
      <c r="D9" s="112" t="n">
        <f aca="false">SUM(D6:D8)</f>
        <v>13020191</v>
      </c>
      <c r="F9" s="102"/>
      <c r="G9" s="102"/>
      <c r="H9" s="102"/>
      <c r="I9" s="102"/>
      <c r="J9" s="102"/>
      <c r="K9" s="102"/>
    </row>
    <row r="10" customFormat="false" ht="12.75" hidden="false" customHeight="true" outlineLevel="0" collapsed="false">
      <c r="A10" s="35" t="s">
        <v>171</v>
      </c>
      <c r="B10" s="93" t="n">
        <v>31658056</v>
      </c>
      <c r="C10" s="93" t="n">
        <v>32452462</v>
      </c>
      <c r="D10" s="93" t="n">
        <v>32778392</v>
      </c>
      <c r="F10" s="35" t="s">
        <v>172</v>
      </c>
      <c r="G10" s="102"/>
      <c r="H10" s="102"/>
      <c r="I10" s="102"/>
      <c r="J10" s="102"/>
      <c r="K10" s="102"/>
    </row>
    <row r="11" customFormat="false" ht="12.75" hidden="false" customHeight="true" outlineLevel="0" collapsed="false">
      <c r="A11" s="35" t="s">
        <v>173</v>
      </c>
      <c r="B11" s="93" t="n">
        <v>1491444</v>
      </c>
      <c r="C11" s="93" t="n">
        <v>1593756</v>
      </c>
      <c r="D11" s="93" t="n">
        <v>2004350</v>
      </c>
      <c r="F11" s="124" t="s">
        <v>172</v>
      </c>
      <c r="G11" s="125"/>
      <c r="H11" s="125"/>
      <c r="I11" s="102"/>
      <c r="J11" s="102"/>
      <c r="K11" s="102"/>
    </row>
    <row r="12" customFormat="false" ht="12.75" hidden="false" customHeight="true" outlineLevel="0" collapsed="false">
      <c r="A12" s="35" t="s">
        <v>174</v>
      </c>
      <c r="B12" s="93" t="n">
        <v>5664359</v>
      </c>
      <c r="C12" s="93" t="n">
        <v>6483777</v>
      </c>
      <c r="D12" s="93" t="n">
        <v>7794060</v>
      </c>
      <c r="F12" s="125"/>
      <c r="G12" s="125"/>
      <c r="H12" s="125"/>
      <c r="I12" s="102"/>
      <c r="J12" s="102"/>
      <c r="K12" s="102"/>
    </row>
    <row r="13" customFormat="false" ht="12.75" hidden="false" customHeight="true" outlineLevel="0" collapsed="false">
      <c r="A13" s="46" t="s">
        <v>175</v>
      </c>
      <c r="B13" s="126" t="n">
        <f aca="false">SUM(B9:B12)</f>
        <v>48731992</v>
      </c>
      <c r="C13" s="126" t="n">
        <f aca="false">SUM(C9:C12)</f>
        <v>53630374</v>
      </c>
      <c r="D13" s="126" t="n">
        <f aca="false">SUM(D9:D12)</f>
        <v>55596993</v>
      </c>
      <c r="E13" s="30"/>
      <c r="F13" s="125"/>
      <c r="G13" s="125"/>
      <c r="H13" s="125"/>
      <c r="I13" s="102"/>
      <c r="J13" s="102"/>
      <c r="K13" s="102"/>
    </row>
    <row r="14" customFormat="false" ht="12.75" hidden="false" customHeight="true" outlineLevel="0" collapsed="false">
      <c r="A14" s="19"/>
      <c r="B14" s="127"/>
      <c r="C14" s="127"/>
      <c r="D14" s="127"/>
      <c r="E14" s="30"/>
      <c r="F14" s="102"/>
      <c r="G14" s="102"/>
      <c r="H14" s="102"/>
      <c r="I14" s="102"/>
      <c r="J14" s="102"/>
      <c r="K14" s="102"/>
    </row>
    <row r="15" customFormat="false" ht="12.75" hidden="false" customHeight="true" outlineLevel="0" collapsed="false">
      <c r="A15" s="46" t="s">
        <v>176</v>
      </c>
      <c r="B15" s="17"/>
      <c r="C15" s="128"/>
      <c r="D15" s="128"/>
      <c r="G15" s="102"/>
      <c r="H15" s="102"/>
      <c r="I15" s="102"/>
      <c r="J15" s="102"/>
      <c r="K15" s="102"/>
    </row>
    <row r="16" customFormat="false" ht="12.75" hidden="false" customHeight="true" outlineLevel="0" collapsed="false">
      <c r="A16" s="35" t="s">
        <v>177</v>
      </c>
      <c r="B16" s="17"/>
      <c r="C16" s="129"/>
      <c r="D16" s="129"/>
      <c r="G16" s="102"/>
      <c r="H16" s="102"/>
      <c r="I16" s="102"/>
      <c r="J16" s="102"/>
      <c r="K16" s="102"/>
    </row>
    <row r="17" customFormat="false" ht="12.75" hidden="false" customHeight="true" outlineLevel="0" collapsed="false">
      <c r="A17" s="35" t="s">
        <v>178</v>
      </c>
      <c r="B17" s="93" t="n">
        <v>4466470</v>
      </c>
      <c r="C17" s="93" t="n">
        <v>4393681</v>
      </c>
      <c r="D17" s="93" t="n">
        <v>4084854</v>
      </c>
      <c r="F17" s="130"/>
      <c r="G17" s="102"/>
      <c r="H17" s="131"/>
      <c r="I17" s="131"/>
      <c r="J17" s="102"/>
      <c r="K17" s="102"/>
    </row>
    <row r="18" customFormat="false" ht="12.75" hidden="false" customHeight="true" outlineLevel="0" collapsed="false">
      <c r="A18" s="35" t="s">
        <v>179</v>
      </c>
      <c r="B18" s="93" t="n">
        <v>747412</v>
      </c>
      <c r="C18" s="93" t="n">
        <v>899909</v>
      </c>
      <c r="D18" s="93" t="n">
        <v>900612</v>
      </c>
      <c r="F18" s="35" t="s">
        <v>169</v>
      </c>
      <c r="G18" s="102"/>
      <c r="H18" s="131"/>
      <c r="I18" s="131"/>
      <c r="J18" s="102"/>
      <c r="K18" s="102"/>
    </row>
    <row r="19" customFormat="false" ht="12.75" hidden="false" customHeight="true" outlineLevel="0" collapsed="false">
      <c r="A19" s="35" t="s">
        <v>180</v>
      </c>
      <c r="B19" s="93" t="n">
        <v>1803960</v>
      </c>
      <c r="C19" s="93" t="n">
        <v>2156544</v>
      </c>
      <c r="D19" s="93" t="n">
        <v>3220869</v>
      </c>
      <c r="G19" s="102"/>
      <c r="H19" s="102"/>
      <c r="I19" s="102"/>
      <c r="J19" s="102"/>
      <c r="K19" s="102"/>
    </row>
    <row r="20" customFormat="false" ht="12.75" hidden="false" customHeight="true" outlineLevel="0" collapsed="false">
      <c r="A20" s="35" t="s">
        <v>181</v>
      </c>
      <c r="B20" s="93" t="n">
        <v>1442969</v>
      </c>
      <c r="C20" s="93" t="n">
        <v>1520813</v>
      </c>
      <c r="D20" s="93" t="n">
        <v>1775730</v>
      </c>
      <c r="G20" s="102"/>
      <c r="H20" s="102"/>
      <c r="I20" s="102"/>
      <c r="J20" s="102"/>
      <c r="K20" s="102"/>
    </row>
    <row r="21" customFormat="false" ht="12.75" hidden="false" customHeight="true" outlineLevel="0" collapsed="false">
      <c r="A21" s="35" t="s">
        <v>182</v>
      </c>
      <c r="B21" s="107" t="n">
        <v>399844</v>
      </c>
      <c r="C21" s="107" t="n">
        <v>1784453</v>
      </c>
      <c r="D21" s="107" t="n">
        <v>998865</v>
      </c>
      <c r="G21" s="102"/>
      <c r="H21" s="102"/>
      <c r="I21" s="102"/>
      <c r="J21" s="102"/>
      <c r="K21" s="102"/>
    </row>
    <row r="22" customFormat="false" ht="12.75" hidden="false" customHeight="true" outlineLevel="0" collapsed="false">
      <c r="A22" s="35" t="s">
        <v>183</v>
      </c>
      <c r="B22" s="112" t="n">
        <f aca="false">SUM(B17:B21)</f>
        <v>8860655</v>
      </c>
      <c r="C22" s="112" t="n">
        <f aca="false">SUM(C17:C21)</f>
        <v>10755400</v>
      </c>
      <c r="D22" s="112" t="n">
        <f aca="false">SUM(D17:D21)</f>
        <v>10980930</v>
      </c>
      <c r="F22" s="102"/>
      <c r="G22" s="102"/>
      <c r="H22" s="102"/>
      <c r="I22" s="102"/>
      <c r="J22" s="102"/>
      <c r="K22" s="102"/>
    </row>
    <row r="23" customFormat="false" ht="12.75" hidden="false" customHeight="true" outlineLevel="0" collapsed="false">
      <c r="A23" s="35" t="s">
        <v>184</v>
      </c>
      <c r="B23" s="93" t="n">
        <v>2578173</v>
      </c>
      <c r="C23" s="93" t="n">
        <v>1780806</v>
      </c>
      <c r="D23" s="93" t="n">
        <v>1579476</v>
      </c>
      <c r="G23" s="102"/>
      <c r="H23" s="102"/>
      <c r="I23" s="102"/>
      <c r="J23" s="102"/>
      <c r="K23" s="102"/>
    </row>
    <row r="24" customFormat="false" ht="12.75" hidden="false" customHeight="true" outlineLevel="0" collapsed="false">
      <c r="A24" s="35" t="s">
        <v>185</v>
      </c>
      <c r="B24" s="93" t="n">
        <v>14143417</v>
      </c>
      <c r="C24" s="93" t="n">
        <v>13798351</v>
      </c>
      <c r="D24" s="93" t="n">
        <v>13463971</v>
      </c>
      <c r="G24" s="125"/>
      <c r="H24" s="102"/>
      <c r="I24" s="102"/>
      <c r="J24" s="102"/>
      <c r="K24" s="102"/>
    </row>
    <row r="25" customFormat="false" ht="12.75" hidden="false" customHeight="true" outlineLevel="0" collapsed="false">
      <c r="A25" s="35" t="s">
        <v>186</v>
      </c>
      <c r="B25" s="107" t="n">
        <v>2561434</v>
      </c>
      <c r="C25" s="107" t="n">
        <v>2552250</v>
      </c>
      <c r="D25" s="107" t="n">
        <v>2957128</v>
      </c>
      <c r="F25" s="130"/>
      <c r="G25" s="130"/>
      <c r="H25" s="130"/>
      <c r="I25" s="102"/>
      <c r="J25" s="102"/>
      <c r="K25" s="102"/>
    </row>
    <row r="26" customFormat="false" ht="12.75" hidden="false" customHeight="true" outlineLevel="0" collapsed="false">
      <c r="A26" s="46" t="s">
        <v>187</v>
      </c>
      <c r="B26" s="112" t="n">
        <f aca="false">SUM(B22:B25)</f>
        <v>28143679</v>
      </c>
      <c r="C26" s="112" t="n">
        <f aca="false">SUM(C22:C25)</f>
        <v>28886807</v>
      </c>
      <c r="D26" s="112" t="n">
        <f aca="false">SUM(D22:D25)</f>
        <v>28981505</v>
      </c>
      <c r="F26" s="102"/>
      <c r="G26" s="102"/>
      <c r="H26" s="102"/>
      <c r="I26" s="102"/>
      <c r="J26" s="102"/>
      <c r="K26" s="102"/>
    </row>
    <row r="27" customFormat="false" ht="12.75" hidden="false" customHeight="true" outlineLevel="0" collapsed="false">
      <c r="A27" s="35" t="s">
        <v>188</v>
      </c>
      <c r="B27" s="17"/>
      <c r="C27" s="129"/>
      <c r="D27" s="129"/>
      <c r="G27" s="102"/>
      <c r="H27" s="102"/>
      <c r="I27" s="102"/>
      <c r="J27" s="102"/>
      <c r="K27" s="102"/>
    </row>
    <row r="28" customFormat="false" ht="12.75" hidden="false" customHeight="true" outlineLevel="0" collapsed="false">
      <c r="A28" s="35" t="s">
        <v>189</v>
      </c>
      <c r="B28" s="93" t="n">
        <v>5145172</v>
      </c>
      <c r="C28" s="93" t="n">
        <v>6252126</v>
      </c>
      <c r="D28" s="93" t="n">
        <v>7286410</v>
      </c>
      <c r="E28" s="132"/>
      <c r="F28" s="102"/>
      <c r="G28" s="102"/>
      <c r="H28" s="102"/>
      <c r="I28" s="102"/>
      <c r="J28" s="102"/>
      <c r="K28" s="102"/>
    </row>
    <row r="29" customFormat="false" ht="12.75" hidden="false" customHeight="true" outlineLevel="0" collapsed="false">
      <c r="A29" s="35" t="s">
        <v>190</v>
      </c>
      <c r="B29" s="93" t="n">
        <v>-6922200</v>
      </c>
      <c r="C29" s="93" t="n">
        <v>-13171638</v>
      </c>
      <c r="D29" s="93" t="n">
        <v>-22372658</v>
      </c>
      <c r="E29" s="132"/>
      <c r="F29" s="102"/>
      <c r="G29" s="102"/>
      <c r="H29" s="102"/>
      <c r="I29" s="102"/>
      <c r="J29" s="102"/>
      <c r="K29" s="102"/>
    </row>
    <row r="30" customFormat="false" ht="12.75" hidden="false" customHeight="true" outlineLevel="0" collapsed="false">
      <c r="A30" s="35" t="s">
        <v>191</v>
      </c>
      <c r="B30" s="93" t="n">
        <v>-223945</v>
      </c>
      <c r="C30" s="93" t="n">
        <v>362162</v>
      </c>
      <c r="D30" s="93" t="n">
        <v>-580382</v>
      </c>
      <c r="F30" s="102"/>
      <c r="G30" s="102"/>
      <c r="H30" s="102"/>
      <c r="I30" s="102"/>
      <c r="J30" s="102"/>
      <c r="K30" s="102"/>
    </row>
    <row r="31" customFormat="false" ht="12.75" hidden="false" customHeight="true" outlineLevel="0" collapsed="false">
      <c r="A31" s="35" t="s">
        <v>192</v>
      </c>
      <c r="B31" s="107" t="n">
        <v>22589286</v>
      </c>
      <c r="C31" s="107" t="n">
        <v>31300917</v>
      </c>
      <c r="D31" s="107" t="n">
        <v>42282118</v>
      </c>
      <c r="F31" s="102"/>
      <c r="G31" s="125"/>
      <c r="H31" s="125"/>
      <c r="I31" s="102"/>
      <c r="J31" s="102"/>
      <c r="K31" s="102"/>
    </row>
    <row r="32" customFormat="false" ht="12.75" hidden="false" customHeight="true" outlineLevel="0" collapsed="false">
      <c r="A32" s="46" t="s">
        <v>193</v>
      </c>
      <c r="B32" s="124" t="n">
        <f aca="false">SUM(B28:B31)</f>
        <v>20588313</v>
      </c>
      <c r="C32" s="124" t="n">
        <f aca="false">SUM(C28:C31)</f>
        <v>24743567</v>
      </c>
      <c r="D32" s="124" t="n">
        <f aca="false">SUM(D28:D31)</f>
        <v>26615488</v>
      </c>
      <c r="E32" s="102"/>
      <c r="F32" s="102"/>
      <c r="G32" s="102"/>
      <c r="H32" s="102"/>
      <c r="I32" s="102"/>
      <c r="J32" s="102"/>
      <c r="K32" s="102"/>
    </row>
    <row r="33" customFormat="false" ht="12.75" hidden="false" customHeight="true" outlineLevel="0" collapsed="false">
      <c r="A33" s="46" t="s">
        <v>194</v>
      </c>
      <c r="B33" s="126" t="n">
        <f aca="false">B26+B32</f>
        <v>48731992</v>
      </c>
      <c r="C33" s="126" t="n">
        <f aca="false">C26+C32</f>
        <v>53630374</v>
      </c>
      <c r="D33" s="126" t="n">
        <f aca="false">D26+D32</f>
        <v>55596993</v>
      </c>
      <c r="E33" s="102"/>
      <c r="F33" s="102"/>
      <c r="G33" s="102"/>
      <c r="H33" s="102"/>
      <c r="I33" s="102"/>
      <c r="J33" s="102"/>
      <c r="K33" s="102"/>
    </row>
    <row r="34" customFormat="false" ht="12" hidden="false" customHeight="true" outlineLevel="0" collapsed="false">
      <c r="A34" s="102"/>
      <c r="B34" s="47"/>
      <c r="C34" s="47"/>
      <c r="D34" s="47"/>
      <c r="E34" s="47"/>
      <c r="F34" s="47"/>
      <c r="G34" s="102"/>
      <c r="H34" s="102"/>
      <c r="I34" s="102"/>
      <c r="J34" s="102"/>
      <c r="K34" s="102"/>
    </row>
    <row r="35" customFormat="false" ht="12" hidden="false" customHeight="true" outlineLevel="0" collapsed="false">
      <c r="A35" s="30"/>
      <c r="B35" s="17"/>
      <c r="C35" s="17"/>
      <c r="D35" s="17"/>
      <c r="E35" s="17"/>
      <c r="F35" s="17"/>
      <c r="G35" s="102"/>
      <c r="H35" s="102"/>
      <c r="I35" s="102"/>
      <c r="J35" s="102"/>
      <c r="K35" s="102"/>
    </row>
    <row r="36" customFormat="false" ht="12" hidden="false" customHeight="true" outlineLevel="0" collapsed="false">
      <c r="A36" s="113"/>
      <c r="B36" s="119"/>
      <c r="C36" s="119"/>
      <c r="D36" s="119"/>
      <c r="E36" s="119"/>
      <c r="F36" s="119"/>
      <c r="G36" s="102"/>
      <c r="H36" s="102"/>
      <c r="I36" s="102"/>
      <c r="J36" s="102"/>
      <c r="K36" s="102"/>
    </row>
    <row r="37" customFormat="false" ht="12" hidden="false" customHeight="true" outlineLevel="0" collapsed="false">
      <c r="A37" s="113"/>
      <c r="B37" s="119"/>
      <c r="C37" s="119"/>
      <c r="D37" s="119"/>
      <c r="E37" s="119"/>
      <c r="F37" s="119"/>
      <c r="G37" s="102"/>
      <c r="H37" s="102"/>
      <c r="I37" s="102"/>
      <c r="J37" s="102"/>
      <c r="K37" s="102"/>
    </row>
    <row r="38" customFormat="false" ht="12" hidden="false" customHeight="true" outlineLevel="0" collapsed="false">
      <c r="A38" s="113"/>
      <c r="B38" s="119"/>
      <c r="C38" s="119"/>
      <c r="D38" s="119"/>
      <c r="E38" s="119"/>
      <c r="F38" s="119"/>
      <c r="G38" s="102"/>
      <c r="H38" s="102"/>
      <c r="I38" s="102"/>
      <c r="J38" s="102"/>
      <c r="K38" s="102"/>
    </row>
    <row r="39" customFormat="false" ht="12" hidden="false" customHeight="true" outlineLevel="0" collapsed="false">
      <c r="A39" s="113"/>
      <c r="B39" s="119"/>
      <c r="C39" s="119"/>
      <c r="D39" s="119"/>
      <c r="E39" s="119"/>
      <c r="F39" s="119"/>
      <c r="G39" s="102"/>
      <c r="H39" s="102"/>
      <c r="I39" s="102"/>
      <c r="J39" s="102"/>
      <c r="K39" s="102"/>
    </row>
    <row r="40" customFormat="false" ht="12" hidden="false" customHeight="true" outlineLevel="0" collapsed="false">
      <c r="A40" s="113"/>
      <c r="B40" s="119"/>
      <c r="C40" s="119"/>
      <c r="D40" s="119"/>
      <c r="E40" s="119"/>
      <c r="F40" s="119"/>
      <c r="G40" s="102"/>
      <c r="H40" s="102"/>
      <c r="I40" s="102"/>
      <c r="J40" s="102"/>
      <c r="K40" s="102"/>
    </row>
    <row r="41" customFormat="false" ht="12" hidden="false" customHeight="true" outlineLevel="0" collapsed="false">
      <c r="A41" s="113"/>
      <c r="B41" s="119"/>
      <c r="C41" s="119"/>
      <c r="D41" s="119"/>
      <c r="E41" s="119"/>
      <c r="F41" s="119"/>
      <c r="G41" s="102"/>
      <c r="H41" s="102"/>
      <c r="I41" s="102"/>
      <c r="J41" s="102"/>
      <c r="K41" s="102"/>
    </row>
    <row r="42" customFormat="false" ht="12" hidden="false" customHeight="true" outlineLevel="0" collapsed="false">
      <c r="A42" s="113"/>
      <c r="B42" s="119"/>
      <c r="C42" s="119"/>
      <c r="D42" s="119"/>
      <c r="E42" s="119"/>
      <c r="F42" s="119"/>
      <c r="G42" s="102"/>
      <c r="H42" s="102"/>
      <c r="I42" s="102"/>
      <c r="J42" s="102"/>
      <c r="K42" s="102"/>
    </row>
    <row r="43" customFormat="false" ht="12" hidden="false" customHeight="true" outlineLevel="0" collapsed="false">
      <c r="A43" s="113"/>
      <c r="B43" s="119"/>
      <c r="C43" s="119"/>
      <c r="D43" s="119"/>
      <c r="E43" s="119"/>
      <c r="F43" s="119"/>
      <c r="G43" s="102"/>
      <c r="H43" s="102"/>
      <c r="I43" s="102"/>
      <c r="J43" s="102"/>
      <c r="K43" s="102"/>
    </row>
    <row r="44" customFormat="false" ht="12" hidden="false" customHeight="true" outlineLevel="0" collapsed="false">
      <c r="A44" s="113"/>
      <c r="B44" s="119"/>
      <c r="C44" s="119"/>
      <c r="D44" s="119"/>
      <c r="E44" s="119"/>
      <c r="F44" s="119"/>
      <c r="G44" s="102"/>
      <c r="H44" s="102"/>
      <c r="I44" s="102"/>
      <c r="J44" s="102"/>
      <c r="K44" s="102"/>
    </row>
    <row r="45" customFormat="false" ht="12" hidden="false" customHeight="true" outlineLevel="0" collapsed="false">
      <c r="A45" s="113"/>
      <c r="B45" s="119"/>
      <c r="C45" s="119"/>
      <c r="D45" s="119"/>
      <c r="E45" s="119"/>
      <c r="F45" s="119"/>
      <c r="G45" s="102"/>
      <c r="H45" s="102"/>
      <c r="I45" s="102"/>
      <c r="J45" s="102"/>
      <c r="K45" s="102"/>
    </row>
    <row r="46" customFormat="false" ht="12" hidden="false" customHeight="true" outlineLevel="0" collapsed="false">
      <c r="A46" s="113"/>
      <c r="B46" s="119"/>
      <c r="C46" s="119"/>
      <c r="D46" s="119"/>
      <c r="E46" s="119"/>
      <c r="F46" s="119"/>
      <c r="G46" s="102"/>
      <c r="H46" s="102"/>
      <c r="I46" s="102"/>
      <c r="J46" s="102"/>
      <c r="K46" s="102"/>
    </row>
    <row r="47" customFormat="false" ht="12" hidden="false" customHeight="true" outlineLevel="0" collapsed="false">
      <c r="A47" s="102"/>
      <c r="B47" s="102"/>
      <c r="C47" s="102"/>
      <c r="D47" s="102"/>
      <c r="E47" s="102"/>
      <c r="F47" s="102"/>
      <c r="G47" s="102"/>
      <c r="H47" s="102"/>
      <c r="I47" s="102"/>
      <c r="J47" s="102"/>
      <c r="K47" s="102"/>
    </row>
    <row r="48" customFormat="false" ht="12" hidden="false" customHeight="true" outlineLevel="0" collapsed="false">
      <c r="A48" s="102"/>
      <c r="B48" s="102"/>
      <c r="C48" s="102"/>
      <c r="D48" s="102"/>
      <c r="E48" s="102"/>
      <c r="F48" s="102"/>
      <c r="G48" s="102"/>
      <c r="H48" s="102"/>
      <c r="I48" s="102"/>
      <c r="J48" s="102"/>
      <c r="K48" s="102"/>
    </row>
    <row r="49" customFormat="false" ht="12" hidden="false" customHeight="true" outlineLevel="0" collapsed="false">
      <c r="A49" s="102"/>
      <c r="B49" s="102"/>
      <c r="C49" s="102"/>
      <c r="D49" s="102"/>
      <c r="E49" s="102"/>
      <c r="F49" s="102"/>
      <c r="G49" s="102"/>
      <c r="H49" s="102"/>
      <c r="I49" s="102"/>
      <c r="J49" s="102"/>
      <c r="K49" s="102"/>
    </row>
    <row r="50" customFormat="false" ht="12" hidden="false" customHeight="true" outlineLevel="0" collapsed="false">
      <c r="A50" s="102"/>
      <c r="B50" s="102"/>
      <c r="C50" s="102"/>
      <c r="D50" s="102"/>
      <c r="E50" s="102"/>
      <c r="F50" s="102"/>
      <c r="G50" s="102"/>
      <c r="H50" s="102"/>
      <c r="I50" s="102"/>
      <c r="J50" s="102"/>
      <c r="K50" s="102"/>
    </row>
    <row r="51" customFormat="false" ht="12" hidden="false" customHeight="true" outlineLevel="0" collapsed="false">
      <c r="A51" s="102"/>
      <c r="B51" s="102"/>
      <c r="C51" s="102"/>
      <c r="D51" s="102"/>
      <c r="E51" s="102"/>
      <c r="F51" s="102"/>
      <c r="G51" s="102"/>
      <c r="H51" s="102"/>
      <c r="I51" s="102"/>
      <c r="J51" s="102"/>
      <c r="K51" s="102"/>
    </row>
    <row r="52" customFormat="false" ht="12" hidden="false" customHeight="true" outlineLevel="0" collapsed="false">
      <c r="A52" s="102"/>
      <c r="B52" s="102"/>
      <c r="C52" s="102"/>
      <c r="D52" s="102"/>
      <c r="E52" s="102"/>
      <c r="F52" s="102"/>
      <c r="G52" s="102"/>
      <c r="H52" s="102"/>
      <c r="I52" s="102"/>
      <c r="J52" s="102"/>
      <c r="K52" s="102"/>
    </row>
    <row r="53" customFormat="false" ht="12" hidden="false" customHeight="true" outlineLevel="0" collapsed="false">
      <c r="A53" s="102"/>
      <c r="B53" s="102"/>
      <c r="C53" s="102"/>
      <c r="D53" s="102"/>
      <c r="E53" s="102"/>
      <c r="F53" s="102"/>
      <c r="G53" s="102"/>
      <c r="H53" s="102"/>
      <c r="I53" s="102"/>
      <c r="J53" s="102"/>
      <c r="K53" s="102"/>
    </row>
    <row r="54" customFormat="false" ht="12" hidden="false" customHeight="true" outlineLevel="0" collapsed="false">
      <c r="A54" s="102"/>
      <c r="B54" s="102"/>
      <c r="C54" s="102"/>
      <c r="D54" s="102"/>
      <c r="E54" s="102"/>
      <c r="F54" s="102"/>
      <c r="G54" s="102"/>
      <c r="H54" s="102"/>
      <c r="I54" s="102"/>
      <c r="J54" s="102"/>
      <c r="K54" s="102"/>
    </row>
    <row r="55" customFormat="false" ht="12" hidden="false" customHeight="true" outlineLevel="0" collapsed="false">
      <c r="A55" s="102"/>
      <c r="B55" s="102"/>
      <c r="C55" s="102"/>
      <c r="D55" s="102"/>
      <c r="E55" s="102"/>
      <c r="F55" s="102"/>
      <c r="G55" s="102"/>
      <c r="H55" s="102"/>
      <c r="I55" s="102"/>
      <c r="J55" s="102"/>
      <c r="K55" s="102"/>
    </row>
    <row r="56" customFormat="false" ht="12" hidden="false" customHeight="true" outlineLevel="0" collapsed="false">
      <c r="A56" s="102"/>
      <c r="B56" s="102"/>
      <c r="C56" s="102"/>
      <c r="D56" s="102"/>
      <c r="E56" s="102"/>
      <c r="F56" s="102"/>
      <c r="G56" s="102"/>
      <c r="H56" s="102"/>
      <c r="I56" s="102"/>
      <c r="J56" s="102"/>
      <c r="K56" s="102"/>
    </row>
    <row r="57" customFormat="false" ht="12" hidden="false" customHeight="true" outlineLevel="0" collapsed="false">
      <c r="A57" s="102"/>
      <c r="B57" s="102"/>
      <c r="C57" s="102"/>
      <c r="D57" s="102"/>
      <c r="E57" s="102"/>
      <c r="F57" s="102"/>
      <c r="G57" s="102"/>
      <c r="H57" s="102"/>
      <c r="I57" s="102"/>
      <c r="J57" s="102"/>
      <c r="K57" s="102"/>
    </row>
    <row r="58" customFormat="false" ht="12" hidden="false" customHeight="true" outlineLevel="0" collapsed="false">
      <c r="A58" s="102"/>
      <c r="B58" s="102"/>
      <c r="C58" s="102"/>
      <c r="D58" s="102"/>
      <c r="E58" s="102"/>
      <c r="F58" s="102"/>
      <c r="G58" s="102"/>
      <c r="H58" s="102"/>
      <c r="I58" s="102"/>
      <c r="J58" s="102"/>
      <c r="K58" s="102"/>
    </row>
    <row r="59" customFormat="false" ht="12" hidden="false" customHeight="true" outlineLevel="0" collapsed="false">
      <c r="A59" s="102"/>
      <c r="B59" s="102"/>
      <c r="C59" s="102"/>
      <c r="D59" s="102"/>
      <c r="E59" s="102"/>
      <c r="F59" s="102"/>
      <c r="G59" s="102"/>
      <c r="H59" s="102"/>
      <c r="I59" s="102"/>
      <c r="J59" s="102"/>
      <c r="K59" s="102"/>
    </row>
    <row r="60" customFormat="false" ht="12" hidden="false" customHeight="true" outlineLevel="0" collapsed="false">
      <c r="A60" s="102"/>
      <c r="B60" s="102"/>
      <c r="C60" s="102"/>
      <c r="D60" s="102"/>
      <c r="E60" s="102"/>
      <c r="F60" s="102"/>
      <c r="G60" s="102"/>
      <c r="H60" s="102"/>
      <c r="I60" s="102"/>
      <c r="J60" s="102"/>
      <c r="K60" s="102"/>
    </row>
    <row r="61" customFormat="false" ht="12" hidden="false" customHeight="true" outlineLevel="0" collapsed="false">
      <c r="A61" s="102"/>
      <c r="B61" s="102"/>
      <c r="C61" s="102"/>
      <c r="D61" s="102"/>
      <c r="E61" s="102"/>
      <c r="F61" s="102"/>
      <c r="G61" s="102"/>
      <c r="H61" s="102"/>
      <c r="I61" s="102"/>
      <c r="J61" s="102"/>
      <c r="K61" s="102"/>
    </row>
    <row r="62" customFormat="false" ht="12" hidden="false" customHeight="true" outlineLevel="0" collapsed="false">
      <c r="A62" s="102"/>
      <c r="B62" s="102"/>
      <c r="C62" s="102"/>
      <c r="D62" s="102"/>
      <c r="E62" s="102"/>
      <c r="F62" s="102"/>
      <c r="G62" s="102"/>
      <c r="H62" s="102"/>
      <c r="I62" s="102"/>
      <c r="J62" s="102"/>
      <c r="K62" s="102"/>
    </row>
    <row r="63" customFormat="false" ht="12" hidden="false" customHeight="true" outlineLevel="0" collapsed="false">
      <c r="A63" s="102"/>
      <c r="B63" s="102"/>
      <c r="C63" s="102"/>
      <c r="D63" s="102"/>
      <c r="E63" s="102"/>
      <c r="F63" s="102"/>
      <c r="G63" s="102"/>
      <c r="H63" s="102"/>
      <c r="I63" s="102"/>
      <c r="J63" s="102"/>
      <c r="K63" s="102"/>
    </row>
    <row r="64" customFormat="false" ht="12" hidden="false" customHeight="true" outlineLevel="0" collapsed="false">
      <c r="A64" s="102"/>
      <c r="B64" s="102"/>
      <c r="C64" s="102"/>
      <c r="D64" s="102"/>
      <c r="E64" s="102"/>
      <c r="F64" s="102"/>
      <c r="G64" s="102"/>
      <c r="H64" s="102"/>
      <c r="I64" s="102"/>
      <c r="J64" s="102"/>
      <c r="K64" s="102"/>
    </row>
    <row r="65" customFormat="false" ht="12" hidden="false" customHeight="true" outlineLevel="0" collapsed="false">
      <c r="A65" s="102"/>
      <c r="B65" s="102"/>
      <c r="C65" s="102"/>
      <c r="D65" s="102"/>
      <c r="E65" s="102"/>
      <c r="F65" s="102"/>
      <c r="G65" s="102"/>
      <c r="H65" s="102"/>
      <c r="I65" s="102"/>
      <c r="J65" s="102"/>
      <c r="K65" s="102"/>
    </row>
    <row r="66" customFormat="false" ht="12" hidden="false" customHeight="true" outlineLevel="0" collapsed="false">
      <c r="A66" s="102"/>
      <c r="B66" s="102"/>
      <c r="C66" s="102"/>
      <c r="D66" s="102"/>
      <c r="E66" s="102"/>
      <c r="F66" s="102"/>
      <c r="G66" s="102"/>
      <c r="H66" s="102"/>
      <c r="I66" s="102"/>
      <c r="J66" s="102"/>
      <c r="K66" s="102"/>
    </row>
    <row r="67" customFormat="false" ht="12" hidden="false" customHeight="true" outlineLevel="0" collapsed="false">
      <c r="A67" s="102"/>
      <c r="B67" s="102"/>
      <c r="C67" s="102"/>
      <c r="D67" s="102"/>
      <c r="E67" s="102"/>
      <c r="F67" s="102"/>
      <c r="G67" s="102"/>
      <c r="H67" s="102"/>
      <c r="I67" s="102"/>
      <c r="J67" s="102"/>
      <c r="K67" s="102"/>
    </row>
    <row r="68" customFormat="false" ht="12" hidden="false" customHeight="true" outlineLevel="0" collapsed="false">
      <c r="A68" s="102"/>
      <c r="B68" s="102"/>
      <c r="C68" s="102"/>
      <c r="D68" s="102"/>
      <c r="E68" s="102"/>
      <c r="F68" s="102"/>
      <c r="G68" s="102"/>
      <c r="H68" s="102"/>
      <c r="I68" s="102"/>
      <c r="J68" s="102"/>
      <c r="K68" s="102"/>
    </row>
    <row r="69" customFormat="false" ht="12" hidden="false" customHeight="true" outlineLevel="0" collapsed="false">
      <c r="A69" s="102"/>
      <c r="B69" s="102"/>
      <c r="C69" s="102"/>
      <c r="D69" s="102"/>
      <c r="E69" s="102"/>
      <c r="F69" s="102"/>
      <c r="G69" s="102"/>
      <c r="H69" s="102"/>
      <c r="I69" s="102"/>
      <c r="J69" s="102"/>
      <c r="K69" s="102"/>
    </row>
    <row r="70" customFormat="false" ht="12" hidden="false" customHeight="true" outlineLevel="0" collapsed="false">
      <c r="A70" s="102"/>
      <c r="B70" s="102"/>
      <c r="C70" s="102"/>
      <c r="D70" s="102"/>
      <c r="E70" s="102"/>
      <c r="F70" s="102"/>
      <c r="G70" s="102"/>
      <c r="H70" s="102"/>
      <c r="I70" s="102"/>
      <c r="J70" s="102"/>
      <c r="K70" s="102"/>
    </row>
    <row r="71" customFormat="false" ht="12" hidden="false" customHeight="true" outlineLevel="0" collapsed="false">
      <c r="A71" s="102"/>
      <c r="B71" s="102"/>
      <c r="C71" s="102"/>
      <c r="D71" s="102"/>
      <c r="E71" s="102"/>
      <c r="F71" s="102"/>
      <c r="G71" s="102"/>
      <c r="H71" s="102"/>
      <c r="I71" s="102"/>
      <c r="J71" s="102"/>
      <c r="K71" s="102"/>
    </row>
    <row r="72" customFormat="false" ht="12" hidden="false" customHeight="true" outlineLevel="0" collapsed="false">
      <c r="A72" s="102"/>
      <c r="B72" s="102"/>
      <c r="C72" s="102"/>
      <c r="D72" s="102"/>
      <c r="E72" s="102"/>
      <c r="F72" s="102"/>
      <c r="G72" s="102"/>
      <c r="H72" s="102"/>
      <c r="I72" s="102"/>
      <c r="J72" s="102"/>
      <c r="K72" s="102"/>
    </row>
    <row r="73" customFormat="false" ht="12" hidden="false" customHeight="true" outlineLevel="0" collapsed="false">
      <c r="A73" s="102"/>
      <c r="B73" s="102"/>
      <c r="C73" s="102"/>
      <c r="D73" s="102"/>
      <c r="E73" s="102"/>
      <c r="F73" s="102"/>
      <c r="G73" s="102"/>
      <c r="H73" s="102"/>
      <c r="I73" s="102"/>
      <c r="J73" s="102"/>
      <c r="K73" s="102"/>
    </row>
    <row r="74" customFormat="false" ht="12" hidden="false" customHeight="true" outlineLevel="0" collapsed="false">
      <c r="A74" s="102"/>
      <c r="B74" s="102"/>
      <c r="C74" s="102"/>
      <c r="D74" s="102"/>
      <c r="E74" s="102"/>
      <c r="F74" s="102"/>
      <c r="G74" s="102"/>
      <c r="H74" s="102"/>
      <c r="I74" s="102"/>
      <c r="J74" s="102"/>
      <c r="K74" s="102"/>
    </row>
    <row r="75" customFormat="false" ht="12" hidden="false" customHeight="true" outlineLevel="0" collapsed="false">
      <c r="A75" s="102"/>
      <c r="B75" s="102"/>
      <c r="C75" s="102"/>
      <c r="D75" s="102"/>
      <c r="E75" s="102"/>
      <c r="F75" s="102"/>
      <c r="G75" s="102"/>
      <c r="H75" s="102"/>
      <c r="I75" s="102"/>
      <c r="J75" s="102"/>
      <c r="K75" s="102"/>
    </row>
    <row r="76" customFormat="false" ht="12" hidden="false" customHeight="true" outlineLevel="0" collapsed="false">
      <c r="A76" s="102"/>
      <c r="B76" s="102"/>
      <c r="C76" s="102"/>
      <c r="D76" s="102"/>
      <c r="E76" s="102"/>
      <c r="F76" s="102"/>
      <c r="G76" s="102"/>
      <c r="H76" s="102"/>
      <c r="I76" s="102"/>
      <c r="J76" s="102"/>
      <c r="K76" s="102"/>
    </row>
    <row r="77" customFormat="false" ht="12" hidden="false" customHeight="true" outlineLevel="0" collapsed="false">
      <c r="A77" s="102"/>
      <c r="B77" s="102"/>
      <c r="C77" s="102"/>
      <c r="D77" s="102"/>
      <c r="E77" s="102"/>
      <c r="F77" s="102"/>
      <c r="G77" s="102"/>
      <c r="H77" s="102"/>
      <c r="I77" s="102"/>
      <c r="J77" s="102"/>
      <c r="K77" s="102"/>
    </row>
    <row r="78" customFormat="false" ht="12" hidden="false" customHeight="true" outlineLevel="0" collapsed="false">
      <c r="A78" s="102"/>
      <c r="B78" s="102"/>
      <c r="C78" s="102"/>
      <c r="D78" s="102"/>
      <c r="E78" s="102"/>
      <c r="F78" s="102"/>
      <c r="G78" s="102"/>
      <c r="H78" s="102"/>
      <c r="I78" s="102"/>
      <c r="J78" s="102"/>
      <c r="K78" s="102"/>
    </row>
    <row r="79" customFormat="false" ht="12" hidden="false" customHeight="true" outlineLevel="0" collapsed="false">
      <c r="A79" s="102"/>
      <c r="B79" s="102"/>
      <c r="C79" s="102"/>
      <c r="D79" s="102"/>
      <c r="E79" s="102"/>
      <c r="F79" s="102"/>
      <c r="G79" s="102"/>
      <c r="H79" s="102"/>
      <c r="I79" s="102"/>
      <c r="J79" s="102"/>
      <c r="K79" s="102"/>
    </row>
    <row r="80" customFormat="false" ht="12" hidden="false" customHeight="true" outlineLevel="0" collapsed="false">
      <c r="A80" s="102"/>
      <c r="B80" s="102"/>
      <c r="C80" s="102"/>
      <c r="D80" s="102"/>
      <c r="E80" s="102"/>
      <c r="F80" s="102"/>
      <c r="G80" s="102"/>
      <c r="H80" s="102"/>
      <c r="I80" s="102"/>
      <c r="J80" s="102"/>
      <c r="K80" s="102"/>
    </row>
    <row r="81" customFormat="false" ht="12" hidden="false" customHeight="true" outlineLevel="0" collapsed="false">
      <c r="A81" s="102"/>
      <c r="B81" s="102"/>
      <c r="C81" s="102"/>
      <c r="D81" s="102"/>
      <c r="E81" s="102"/>
      <c r="F81" s="102"/>
      <c r="G81" s="102"/>
      <c r="H81" s="102"/>
      <c r="I81" s="102"/>
      <c r="J81" s="102"/>
      <c r="K81" s="102"/>
    </row>
    <row r="82" customFormat="false" ht="12" hidden="false" customHeight="true" outlineLevel="0" collapsed="false">
      <c r="A82" s="102"/>
      <c r="B82" s="102"/>
      <c r="C82" s="102"/>
      <c r="D82" s="102"/>
      <c r="E82" s="102"/>
      <c r="F82" s="102"/>
      <c r="G82" s="102"/>
      <c r="H82" s="102"/>
      <c r="I82" s="102"/>
      <c r="J82" s="102"/>
      <c r="K82" s="102"/>
    </row>
    <row r="83" customFormat="false" ht="12" hidden="false" customHeight="true" outlineLevel="0" collapsed="false">
      <c r="A83" s="102"/>
      <c r="B83" s="102"/>
      <c r="C83" s="102"/>
      <c r="D83" s="102"/>
      <c r="E83" s="102"/>
      <c r="F83" s="102"/>
      <c r="G83" s="102"/>
      <c r="H83" s="102"/>
      <c r="I83" s="102"/>
      <c r="J83" s="102"/>
      <c r="K83" s="102"/>
    </row>
    <row r="84" customFormat="false" ht="12" hidden="false" customHeight="true" outlineLevel="0" collapsed="false">
      <c r="A84" s="102"/>
      <c r="B84" s="102"/>
      <c r="C84" s="102"/>
      <c r="D84" s="102"/>
      <c r="E84" s="102"/>
      <c r="F84" s="102"/>
      <c r="G84" s="102"/>
      <c r="H84" s="102"/>
      <c r="I84" s="102"/>
      <c r="J84" s="102"/>
      <c r="K84" s="102"/>
    </row>
    <row r="85" customFormat="false" ht="12" hidden="false" customHeight="true" outlineLevel="0" collapsed="false">
      <c r="A85" s="102"/>
      <c r="B85" s="102"/>
      <c r="C85" s="102"/>
      <c r="D85" s="102"/>
      <c r="E85" s="102"/>
      <c r="F85" s="102"/>
      <c r="G85" s="102"/>
      <c r="H85" s="102"/>
      <c r="I85" s="102"/>
      <c r="J85" s="102"/>
      <c r="K85" s="102"/>
    </row>
    <row r="86" customFormat="false" ht="12" hidden="false" customHeight="true" outlineLevel="0" collapsed="false">
      <c r="A86" s="102"/>
      <c r="B86" s="102"/>
      <c r="C86" s="102"/>
      <c r="D86" s="102"/>
      <c r="E86" s="102"/>
      <c r="F86" s="102"/>
      <c r="G86" s="102"/>
      <c r="H86" s="102"/>
      <c r="I86" s="102"/>
      <c r="J86" s="102"/>
      <c r="K86" s="102"/>
    </row>
    <row r="87" customFormat="false" ht="12" hidden="false" customHeight="true" outlineLevel="0" collapsed="false">
      <c r="A87" s="102"/>
      <c r="B87" s="102"/>
      <c r="C87" s="102"/>
      <c r="D87" s="102"/>
      <c r="E87" s="102"/>
      <c r="F87" s="102"/>
      <c r="G87" s="102"/>
      <c r="H87" s="102"/>
      <c r="I87" s="102"/>
      <c r="J87" s="102"/>
      <c r="K87" s="102"/>
    </row>
    <row r="88" customFormat="false" ht="12" hidden="false" customHeight="true" outlineLevel="0" collapsed="false">
      <c r="A88" s="102"/>
      <c r="B88" s="102"/>
      <c r="C88" s="102"/>
      <c r="D88" s="102"/>
      <c r="E88" s="102"/>
      <c r="F88" s="102"/>
      <c r="G88" s="102"/>
      <c r="H88" s="102"/>
      <c r="I88" s="102"/>
      <c r="J88" s="102"/>
      <c r="K88" s="102"/>
    </row>
    <row r="89" customFormat="false" ht="12" hidden="false" customHeight="true" outlineLevel="0" collapsed="false">
      <c r="A89" s="102"/>
      <c r="B89" s="102"/>
      <c r="C89" s="102"/>
      <c r="D89" s="102"/>
      <c r="E89" s="102"/>
      <c r="F89" s="102"/>
      <c r="G89" s="102"/>
      <c r="H89" s="102"/>
      <c r="I89" s="102"/>
      <c r="J89" s="102"/>
      <c r="K89" s="102"/>
    </row>
    <row r="90" customFormat="false" ht="12" hidden="false" customHeight="true" outlineLevel="0" collapsed="false">
      <c r="A90" s="102"/>
      <c r="B90" s="102"/>
      <c r="C90" s="102"/>
      <c r="D90" s="102"/>
      <c r="E90" s="102"/>
      <c r="F90" s="102"/>
      <c r="G90" s="102"/>
      <c r="H90" s="102"/>
      <c r="I90" s="102"/>
      <c r="J90" s="102"/>
      <c r="K90" s="102"/>
    </row>
    <row r="91" customFormat="false" ht="12" hidden="false" customHeight="true" outlineLevel="0" collapsed="false">
      <c r="A91" s="102"/>
      <c r="B91" s="102"/>
      <c r="C91" s="102"/>
      <c r="D91" s="102"/>
      <c r="E91" s="102"/>
      <c r="F91" s="102"/>
      <c r="G91" s="102"/>
      <c r="H91" s="102"/>
      <c r="I91" s="102"/>
      <c r="J91" s="102"/>
      <c r="K91" s="102"/>
    </row>
    <row r="92" customFormat="false" ht="12" hidden="false" customHeight="true" outlineLevel="0" collapsed="false">
      <c r="A92" s="102"/>
      <c r="B92" s="102"/>
      <c r="C92" s="102"/>
      <c r="D92" s="102"/>
      <c r="E92" s="102"/>
      <c r="F92" s="102"/>
      <c r="G92" s="102"/>
      <c r="H92" s="102"/>
      <c r="I92" s="102"/>
      <c r="J92" s="102"/>
      <c r="K92" s="102"/>
    </row>
    <row r="93" customFormat="false" ht="12" hidden="false" customHeight="true" outlineLevel="0" collapsed="false">
      <c r="A93" s="102"/>
      <c r="B93" s="102"/>
      <c r="C93" s="102"/>
      <c r="D93" s="102"/>
      <c r="E93" s="102"/>
      <c r="F93" s="102"/>
      <c r="G93" s="102"/>
      <c r="H93" s="102"/>
      <c r="I93" s="102"/>
      <c r="J93" s="102"/>
      <c r="K93" s="102"/>
    </row>
    <row r="94" customFormat="false" ht="12" hidden="false" customHeight="true" outlineLevel="0" collapsed="false">
      <c r="A94" s="102"/>
      <c r="B94" s="102"/>
      <c r="C94" s="102"/>
      <c r="D94" s="102"/>
      <c r="E94" s="102"/>
      <c r="F94" s="102"/>
      <c r="G94" s="102"/>
      <c r="H94" s="102"/>
      <c r="I94" s="102"/>
      <c r="J94" s="102"/>
      <c r="K94" s="102"/>
    </row>
    <row r="95" customFormat="false" ht="12" hidden="false" customHeight="true" outlineLevel="0" collapsed="false">
      <c r="A95" s="102"/>
      <c r="B95" s="102"/>
      <c r="C95" s="102"/>
      <c r="D95" s="102"/>
      <c r="E95" s="102"/>
      <c r="F95" s="102"/>
      <c r="G95" s="102"/>
      <c r="H95" s="102"/>
      <c r="I95" s="102"/>
      <c r="J95" s="102"/>
      <c r="K95" s="102"/>
    </row>
    <row r="96" customFormat="false" ht="12" hidden="false" customHeight="true" outlineLevel="0" collapsed="false">
      <c r="A96" s="102"/>
      <c r="B96" s="102"/>
      <c r="C96" s="102"/>
      <c r="D96" s="102"/>
      <c r="E96" s="102"/>
      <c r="F96" s="102"/>
      <c r="G96" s="102"/>
      <c r="H96" s="102"/>
      <c r="I96" s="102"/>
      <c r="J96" s="102"/>
      <c r="K96" s="102"/>
    </row>
    <row r="97" customFormat="false" ht="12" hidden="false" customHeight="true" outlineLevel="0" collapsed="false">
      <c r="A97" s="102"/>
      <c r="B97" s="102"/>
      <c r="C97" s="102"/>
      <c r="D97" s="102"/>
      <c r="E97" s="102"/>
      <c r="F97" s="102"/>
      <c r="G97" s="102"/>
      <c r="H97" s="102"/>
      <c r="I97" s="102"/>
      <c r="J97" s="102"/>
      <c r="K97" s="102"/>
    </row>
    <row r="98" customFormat="false" ht="12" hidden="false" customHeight="true" outlineLevel="0" collapsed="false">
      <c r="A98" s="102"/>
      <c r="B98" s="102"/>
      <c r="C98" s="102"/>
      <c r="D98" s="102"/>
      <c r="E98" s="102"/>
      <c r="F98" s="102"/>
      <c r="G98" s="102"/>
      <c r="H98" s="102"/>
      <c r="I98" s="102"/>
      <c r="J98" s="102"/>
      <c r="K98" s="102"/>
    </row>
    <row r="99" customFormat="false" ht="12" hidden="false" customHeight="true" outlineLevel="0" collapsed="false">
      <c r="A99" s="102"/>
      <c r="B99" s="102"/>
      <c r="C99" s="102"/>
      <c r="D99" s="102"/>
      <c r="E99" s="102"/>
      <c r="F99" s="102"/>
      <c r="G99" s="102"/>
      <c r="H99" s="102"/>
      <c r="I99" s="102"/>
      <c r="J99" s="102"/>
      <c r="K99" s="102"/>
    </row>
    <row r="100" customFormat="false" ht="12" hidden="false" customHeight="true" outlineLevel="0" collapsed="false">
      <c r="A100" s="102"/>
      <c r="B100" s="102"/>
      <c r="C100" s="102"/>
      <c r="D100" s="102"/>
      <c r="E100" s="102"/>
      <c r="F100" s="102"/>
      <c r="G100" s="102"/>
      <c r="H100" s="102"/>
      <c r="I100" s="102"/>
      <c r="J100" s="102"/>
      <c r="K100" s="102"/>
    </row>
    <row r="101" customFormat="false" ht="12" hidden="false" customHeight="true" outlineLevel="0" collapsed="false">
      <c r="A101" s="102"/>
      <c r="B101" s="102"/>
      <c r="C101" s="102"/>
      <c r="D101" s="102"/>
      <c r="E101" s="102"/>
      <c r="F101" s="102"/>
      <c r="G101" s="102"/>
      <c r="H101" s="102"/>
      <c r="I101" s="102"/>
      <c r="J101" s="102"/>
      <c r="K101" s="102"/>
    </row>
    <row r="102" customFormat="false" ht="12" hidden="false" customHeight="true" outlineLevel="0" collapsed="false">
      <c r="A102" s="102"/>
      <c r="B102" s="102"/>
      <c r="C102" s="102"/>
      <c r="D102" s="102"/>
      <c r="E102" s="102"/>
      <c r="F102" s="102"/>
      <c r="G102" s="102"/>
      <c r="H102" s="102"/>
      <c r="I102" s="102"/>
      <c r="J102" s="102"/>
      <c r="K102" s="102"/>
    </row>
    <row r="103" customFormat="false" ht="12" hidden="false" customHeight="true" outlineLevel="0" collapsed="false">
      <c r="A103" s="102"/>
      <c r="B103" s="102"/>
      <c r="C103" s="102"/>
      <c r="D103" s="102"/>
      <c r="E103" s="102"/>
      <c r="F103" s="102"/>
      <c r="G103" s="102"/>
      <c r="H103" s="102"/>
      <c r="I103" s="102"/>
      <c r="J103" s="102"/>
      <c r="K103" s="10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D5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328125" defaultRowHeight="14.25" zeroHeight="false" outlineLevelRow="0" outlineLevelCol="0"/>
  <cols>
    <col collapsed="false" customWidth="true" hidden="false" outlineLevel="0" max="1" min="1" style="15" width="60"/>
    <col collapsed="false" customWidth="true" hidden="false" outlineLevel="0" max="2" min="2" style="15" width="13.36"/>
    <col collapsed="false" customWidth="true" hidden="false" outlineLevel="0" max="4" min="3" style="15" width="14"/>
  </cols>
  <sheetData>
    <row r="1" customFormat="false" ht="14.25" hidden="false" customHeight="true" outlineLevel="0" collapsed="false">
      <c r="A1" s="133" t="s">
        <v>195</v>
      </c>
      <c r="B1" s="134" t="n">
        <v>2023</v>
      </c>
      <c r="C1" s="134" t="n">
        <v>2024</v>
      </c>
      <c r="D1" s="134" t="n">
        <v>2025</v>
      </c>
    </row>
    <row r="2" customFormat="false" ht="14.25" hidden="false" customHeight="true" outlineLevel="0" collapsed="false">
      <c r="A2" s="17"/>
      <c r="B2" s="17"/>
      <c r="C2" s="17"/>
      <c r="D2" s="17"/>
    </row>
    <row r="3" customFormat="false" ht="14.25" hidden="false" customHeight="true" outlineLevel="0" collapsed="false">
      <c r="A3" s="46" t="s">
        <v>196</v>
      </c>
      <c r="B3" s="17"/>
      <c r="C3" s="17"/>
      <c r="D3" s="17"/>
    </row>
    <row r="4" customFormat="false" ht="14.25" hidden="false" customHeight="true" outlineLevel="0" collapsed="false">
      <c r="A4" s="35" t="s">
        <v>139</v>
      </c>
      <c r="B4" s="135" t="n">
        <v>5407990</v>
      </c>
      <c r="C4" s="135" t="n">
        <v>8711631</v>
      </c>
      <c r="D4" s="135" t="n">
        <v>10981201</v>
      </c>
    </row>
    <row r="5" customFormat="false" ht="14.25" hidden="false" customHeight="true" outlineLevel="0" collapsed="false">
      <c r="A5" s="35" t="s">
        <v>197</v>
      </c>
      <c r="B5" s="17"/>
      <c r="C5" s="17"/>
      <c r="D5" s="17"/>
    </row>
    <row r="6" customFormat="false" ht="14.25" hidden="false" customHeight="true" outlineLevel="0" collapsed="false">
      <c r="A6" s="35" t="s">
        <v>198</v>
      </c>
      <c r="B6" s="93" t="n">
        <v>-12554703</v>
      </c>
      <c r="C6" s="93" t="n">
        <v>-16223617</v>
      </c>
      <c r="D6" s="93" t="n">
        <v>-17096617</v>
      </c>
    </row>
    <row r="7" customFormat="false" ht="14.25" hidden="false" customHeight="true" outlineLevel="0" collapsed="false">
      <c r="A7" s="35" t="s">
        <v>199</v>
      </c>
      <c r="B7" s="93" t="n">
        <v>-585602</v>
      </c>
      <c r="C7" s="93" t="n">
        <v>-779135</v>
      </c>
      <c r="D7" s="93" t="n">
        <v>-610838</v>
      </c>
    </row>
    <row r="8" customFormat="false" ht="14.25" hidden="false" customHeight="true" outlineLevel="0" collapsed="false">
      <c r="A8" s="35" t="s">
        <v>200</v>
      </c>
      <c r="B8" s="93" t="n">
        <v>14197437</v>
      </c>
      <c r="C8" s="93" t="n">
        <v>15301517</v>
      </c>
      <c r="D8" s="93" t="n">
        <v>16422166</v>
      </c>
    </row>
    <row r="9" customFormat="false" ht="14.25" hidden="false" customHeight="true" outlineLevel="0" collapsed="false">
      <c r="A9" s="35" t="s">
        <v>201</v>
      </c>
      <c r="B9" s="93" t="n">
        <v>356947</v>
      </c>
      <c r="C9" s="93" t="n">
        <v>328914</v>
      </c>
      <c r="D9" s="93" t="n">
        <v>333389</v>
      </c>
    </row>
    <row r="10" customFormat="false" ht="14.25" hidden="false" customHeight="true" outlineLevel="0" collapsed="false">
      <c r="A10" s="35" t="s">
        <v>202</v>
      </c>
      <c r="B10" s="93" t="n">
        <v>339368</v>
      </c>
      <c r="C10" s="93" t="n">
        <v>272588</v>
      </c>
      <c r="D10" s="93" t="n">
        <v>368449</v>
      </c>
    </row>
    <row r="11" customFormat="false" ht="14.25" hidden="false" customHeight="true" outlineLevel="0" collapsed="false">
      <c r="A11" s="35" t="s">
        <v>203</v>
      </c>
      <c r="B11" s="93" t="n">
        <v>176296</v>
      </c>
      <c r="C11" s="93" t="n">
        <v>-121539</v>
      </c>
      <c r="D11" s="93" t="n">
        <v>72348</v>
      </c>
    </row>
    <row r="12" customFormat="false" ht="14.25" hidden="false" customHeight="true" outlineLevel="0" collapsed="false">
      <c r="A12" s="35" t="s">
        <v>204</v>
      </c>
      <c r="B12" s="93" t="n">
        <v>512075</v>
      </c>
      <c r="C12" s="93" t="n">
        <v>494778</v>
      </c>
      <c r="D12" s="93" t="n">
        <v>577451</v>
      </c>
    </row>
    <row r="13" customFormat="false" ht="14.25" hidden="false" customHeight="true" outlineLevel="0" collapsed="false">
      <c r="A13" s="35" t="s">
        <v>205</v>
      </c>
      <c r="B13" s="93" t="n">
        <v>-459359</v>
      </c>
      <c r="C13" s="93" t="n">
        <v>-590698</v>
      </c>
      <c r="D13" s="93" t="n">
        <v>-442056</v>
      </c>
    </row>
    <row r="14" customFormat="false" ht="14.25" hidden="false" customHeight="true" outlineLevel="0" collapsed="false">
      <c r="A14" s="35" t="s">
        <v>206</v>
      </c>
      <c r="B14" s="17"/>
      <c r="C14" s="17"/>
      <c r="D14" s="17"/>
    </row>
    <row r="15" customFormat="false" ht="14.25" hidden="false" customHeight="true" outlineLevel="0" collapsed="false">
      <c r="A15" s="35" t="s">
        <v>207</v>
      </c>
      <c r="B15" s="93" t="n">
        <v>-181003</v>
      </c>
      <c r="C15" s="93" t="n">
        <v>22180</v>
      </c>
      <c r="D15" s="93" t="n">
        <v>-790661</v>
      </c>
    </row>
    <row r="16" customFormat="false" ht="14.25" hidden="false" customHeight="true" outlineLevel="0" collapsed="false">
      <c r="A16" s="35" t="s">
        <v>208</v>
      </c>
      <c r="B16" s="93" t="n">
        <v>93502</v>
      </c>
      <c r="C16" s="93" t="n">
        <v>121353</v>
      </c>
      <c r="D16" s="93" t="n">
        <v>-8039</v>
      </c>
    </row>
    <row r="17" customFormat="false" ht="14.25" hidden="false" customHeight="true" outlineLevel="0" collapsed="false">
      <c r="A17" s="35" t="s">
        <v>209</v>
      </c>
      <c r="B17" s="93" t="n">
        <v>103565</v>
      </c>
      <c r="C17" s="93" t="n">
        <v>191899</v>
      </c>
      <c r="D17" s="93" t="n">
        <v>881218</v>
      </c>
    </row>
    <row r="18" customFormat="false" ht="14.25" hidden="false" customHeight="true" outlineLevel="0" collapsed="false">
      <c r="A18" s="35" t="s">
        <v>210</v>
      </c>
      <c r="B18" s="93" t="n">
        <v>178708</v>
      </c>
      <c r="C18" s="93" t="n">
        <v>77844</v>
      </c>
      <c r="D18" s="93" t="n">
        <v>254917</v>
      </c>
    </row>
    <row r="19" customFormat="false" ht="14.25" hidden="false" customHeight="true" outlineLevel="0" collapsed="false">
      <c r="A19" s="35" t="s">
        <v>211</v>
      </c>
      <c r="B19" s="93" t="n">
        <v>-310920</v>
      </c>
      <c r="C19" s="93" t="n">
        <v>-446351</v>
      </c>
      <c r="D19" s="93" t="n">
        <v>-793655</v>
      </c>
    </row>
    <row r="20" customFormat="false" ht="14.25" hidden="false" customHeight="true" outlineLevel="0" collapsed="false">
      <c r="A20" s="35" t="s">
        <v>212</v>
      </c>
      <c r="B20" s="136" t="n">
        <f aca="false">SUM(B4:B19)</f>
        <v>7274301</v>
      </c>
      <c r="C20" s="136" t="n">
        <f aca="false">SUM(C4:C19)</f>
        <v>7361364</v>
      </c>
      <c r="D20" s="136" t="n">
        <f aca="false">SUM(D4:D19)</f>
        <v>10149273</v>
      </c>
    </row>
    <row r="21" customFormat="false" ht="14.25" hidden="false" customHeight="true" outlineLevel="0" collapsed="false">
      <c r="A21" s="17"/>
      <c r="B21" s="17"/>
      <c r="C21" s="17"/>
      <c r="D21" s="17"/>
    </row>
    <row r="22" customFormat="false" ht="14.25" hidden="false" customHeight="true" outlineLevel="0" collapsed="false">
      <c r="A22" s="46" t="s">
        <v>213</v>
      </c>
      <c r="B22" s="17"/>
      <c r="C22" s="17"/>
      <c r="D22" s="17"/>
    </row>
    <row r="23" customFormat="false" ht="14.25" hidden="false" customHeight="true" outlineLevel="0" collapsed="false">
      <c r="A23" s="35" t="s">
        <v>214</v>
      </c>
      <c r="B23" s="93" t="n">
        <v>-348552</v>
      </c>
      <c r="C23" s="93" t="n">
        <v>-439538</v>
      </c>
      <c r="D23" s="93" t="n">
        <v>-688220</v>
      </c>
    </row>
    <row r="24" customFormat="false" ht="14.25" hidden="false" customHeight="true" outlineLevel="0" collapsed="false">
      <c r="A24" s="35" t="s">
        <v>215</v>
      </c>
      <c r="B24" s="93" t="n">
        <v>0</v>
      </c>
      <c r="C24" s="93" t="n">
        <v>0</v>
      </c>
      <c r="D24" s="93" t="n">
        <v>-17194</v>
      </c>
    </row>
    <row r="25" customFormat="false" ht="14.25" hidden="false" customHeight="true" outlineLevel="0" collapsed="false">
      <c r="A25" s="35" t="s">
        <v>216</v>
      </c>
      <c r="B25" s="93" t="n">
        <v>-504862</v>
      </c>
      <c r="C25" s="93" t="n">
        <v>-1742246</v>
      </c>
      <c r="D25" s="93" t="n">
        <v>-169965</v>
      </c>
    </row>
    <row r="26" customFormat="false" ht="14.25" hidden="false" customHeight="true" outlineLevel="0" collapsed="false">
      <c r="A26" s="35" t="s">
        <v>217</v>
      </c>
      <c r="B26" s="93" t="n">
        <v>1395165</v>
      </c>
      <c r="C26" s="93" t="n">
        <v>0</v>
      </c>
      <c r="D26" s="93" t="n">
        <v>1917067</v>
      </c>
    </row>
    <row r="27" customFormat="false" ht="14.25" hidden="false" customHeight="true" outlineLevel="0" collapsed="false">
      <c r="A27" s="35" t="s">
        <v>218</v>
      </c>
      <c r="B27" s="136" t="n">
        <f aca="false">SUM(B23:B26)</f>
        <v>541751</v>
      </c>
      <c r="C27" s="136" t="n">
        <f aca="false">SUM(C23:C26)</f>
        <v>-2181784</v>
      </c>
      <c r="D27" s="136" t="n">
        <f aca="false">SUM(D23:D26)</f>
        <v>1041688</v>
      </c>
    </row>
    <row r="28" customFormat="false" ht="14.25" hidden="false" customHeight="true" outlineLevel="0" collapsed="false">
      <c r="A28" s="17"/>
      <c r="B28" s="17"/>
      <c r="C28" s="17"/>
      <c r="D28" s="17"/>
    </row>
    <row r="29" customFormat="false" ht="14.25" hidden="false" customHeight="true" outlineLevel="0" collapsed="false">
      <c r="A29" s="46" t="s">
        <v>219</v>
      </c>
      <c r="B29" s="17"/>
      <c r="C29" s="17"/>
      <c r="D29" s="17"/>
    </row>
    <row r="30" customFormat="false" ht="14.25" hidden="false" customHeight="true" outlineLevel="0" collapsed="false">
      <c r="A30" s="35" t="s">
        <v>220</v>
      </c>
      <c r="B30" s="93" t="n">
        <v>0</v>
      </c>
      <c r="C30" s="93" t="n">
        <v>1794460</v>
      </c>
      <c r="D30" s="93" t="n">
        <v>0</v>
      </c>
    </row>
    <row r="31" customFormat="false" ht="14.25" hidden="false" customHeight="true" outlineLevel="0" collapsed="false">
      <c r="A31" s="35" t="s">
        <v>221</v>
      </c>
      <c r="B31" s="93" t="n">
        <v>0</v>
      </c>
      <c r="C31" s="93" t="n">
        <v>-400000</v>
      </c>
      <c r="D31" s="93" t="n">
        <v>-1833450</v>
      </c>
    </row>
    <row r="32" customFormat="false" ht="14.25" hidden="false" customHeight="true" outlineLevel="0" collapsed="false">
      <c r="A32" s="35" t="s">
        <v>222</v>
      </c>
      <c r="B32" s="93" t="n">
        <v>169990</v>
      </c>
      <c r="C32" s="93" t="n">
        <v>832887</v>
      </c>
      <c r="D32" s="93" t="n">
        <v>666965</v>
      </c>
    </row>
    <row r="33" customFormat="false" ht="14.25" hidden="false" customHeight="true" outlineLevel="0" collapsed="false">
      <c r="A33" s="35" t="s">
        <v>223</v>
      </c>
      <c r="B33" s="93" t="n">
        <v>-6045347</v>
      </c>
      <c r="C33" s="93" t="n">
        <v>-6263746</v>
      </c>
      <c r="D33" s="93" t="n">
        <v>-9127167</v>
      </c>
    </row>
    <row r="34" customFormat="false" ht="14.25" hidden="false" customHeight="true" outlineLevel="0" collapsed="false">
      <c r="A34" s="35" t="s">
        <v>224</v>
      </c>
      <c r="B34" s="93" t="n">
        <v>0</v>
      </c>
      <c r="C34" s="93" t="n">
        <v>-8285</v>
      </c>
      <c r="D34" s="93" t="n">
        <v>-46165</v>
      </c>
    </row>
    <row r="35" customFormat="false" ht="14.25" hidden="false" customHeight="true" outlineLevel="0" collapsed="false">
      <c r="A35" s="35" t="s">
        <v>225</v>
      </c>
      <c r="B35" s="93" t="n">
        <v>-75446</v>
      </c>
      <c r="C35" s="93" t="n">
        <v>-29743</v>
      </c>
      <c r="D35" s="93" t="n">
        <v>-5806</v>
      </c>
    </row>
    <row r="36" customFormat="false" ht="14.25" hidden="false" customHeight="true" outlineLevel="0" collapsed="false">
      <c r="A36" s="35" t="s">
        <v>226</v>
      </c>
      <c r="B36" s="136" t="n">
        <f aca="false">SUM(B30:B35)</f>
        <v>-5950803</v>
      </c>
      <c r="C36" s="136" t="n">
        <f aca="false">SUM(C30:C35)</f>
        <v>-4074427</v>
      </c>
      <c r="D36" s="136" t="n">
        <f aca="false">SUM(D30:D35)</f>
        <v>-10345623</v>
      </c>
    </row>
    <row r="37" customFormat="false" ht="14.25" hidden="false" customHeight="true" outlineLevel="0" collapsed="false">
      <c r="A37" s="17"/>
      <c r="B37" s="17"/>
      <c r="C37" s="17"/>
      <c r="D37" s="17"/>
    </row>
    <row r="38" customFormat="false" ht="14.25" hidden="false" customHeight="true" outlineLevel="0" collapsed="false">
      <c r="A38" s="35" t="s">
        <v>227</v>
      </c>
      <c r="B38" s="93" t="n">
        <v>82684</v>
      </c>
      <c r="C38" s="93" t="n">
        <v>-416331</v>
      </c>
      <c r="D38" s="93" t="n">
        <v>386519</v>
      </c>
    </row>
    <row r="39" customFormat="false" ht="14.25" hidden="false" customHeight="true" outlineLevel="0" collapsed="false">
      <c r="A39" s="35" t="s">
        <v>228</v>
      </c>
      <c r="B39" s="97" t="n">
        <f aca="false">B20+B27+B36+B38</f>
        <v>1947933</v>
      </c>
      <c r="C39" s="97" t="n">
        <f aca="false">C20+C27+C36+C38</f>
        <v>688822</v>
      </c>
      <c r="D39" s="97" t="n">
        <f aca="false">D20+D27+D36+D38</f>
        <v>1231857</v>
      </c>
    </row>
    <row r="40" customFormat="false" ht="14.25" hidden="false" customHeight="true" outlineLevel="0" collapsed="false">
      <c r="A40" s="17"/>
      <c r="B40" s="17"/>
      <c r="C40" s="17"/>
      <c r="D40" s="17"/>
    </row>
    <row r="41" customFormat="false" ht="14.25" hidden="false" customHeight="true" outlineLevel="0" collapsed="false">
      <c r="A41" s="35" t="s">
        <v>229</v>
      </c>
      <c r="B41" s="93" t="n">
        <v>5170582</v>
      </c>
      <c r="C41" s="93" t="n">
        <v>7118515</v>
      </c>
      <c r="D41" s="93" t="n">
        <v>7807337</v>
      </c>
    </row>
    <row r="42" customFormat="false" ht="14.25" hidden="false" customHeight="true" outlineLevel="0" collapsed="false">
      <c r="A42" s="35" t="s">
        <v>230</v>
      </c>
      <c r="B42" s="136" t="n">
        <f aca="false">B39+B41</f>
        <v>7118515</v>
      </c>
      <c r="C42" s="136" t="n">
        <f aca="false">C39+C41</f>
        <v>7807337</v>
      </c>
      <c r="D42" s="136" t="n">
        <f aca="false">D39+D41</f>
        <v>9039194</v>
      </c>
    </row>
    <row r="43" customFormat="false" ht="14.25" hidden="false" customHeight="true" outlineLevel="0" collapsed="false">
      <c r="A43" s="17"/>
      <c r="B43" s="17"/>
      <c r="C43" s="17"/>
      <c r="D43" s="17"/>
    </row>
    <row r="44" customFormat="false" ht="14.25" hidden="false" customHeight="true" outlineLevel="0" collapsed="false">
      <c r="A44" s="35" t="s">
        <v>231</v>
      </c>
      <c r="B44" s="17"/>
      <c r="C44" s="17"/>
      <c r="D44" s="17"/>
    </row>
    <row r="45" customFormat="false" ht="14.25" hidden="false" customHeight="true" outlineLevel="0" collapsed="false">
      <c r="A45" s="35" t="s">
        <v>232</v>
      </c>
      <c r="B45" s="93" t="n">
        <v>684504</v>
      </c>
      <c r="C45" s="93" t="n">
        <v>674502</v>
      </c>
      <c r="D45" s="93" t="n">
        <v>718611</v>
      </c>
    </row>
    <row r="46" customFormat="false" ht="14.25" hidden="false" customHeight="true" outlineLevel="0" collapsed="false">
      <c r="A46" s="17"/>
      <c r="B46" s="17"/>
      <c r="C46" s="17"/>
      <c r="D46" s="17"/>
    </row>
    <row r="47" customFormat="false" ht="14.25" hidden="false" customHeight="true" outlineLevel="0" collapsed="false">
      <c r="A47" s="17"/>
      <c r="B47" s="17"/>
      <c r="C47" s="17"/>
      <c r="D47" s="137"/>
    </row>
    <row r="48" customFormat="false" ht="14.25" hidden="false" customHeight="true" outlineLevel="0" collapsed="false">
      <c r="A48" s="17"/>
      <c r="B48" s="17"/>
      <c r="C48" s="17"/>
      <c r="D48" s="17"/>
    </row>
    <row r="49" customFormat="false" ht="14.25" hidden="false" customHeight="true" outlineLevel="0" collapsed="false">
      <c r="A49" s="17"/>
      <c r="B49" s="17"/>
      <c r="C49" s="17"/>
      <c r="D49" s="17"/>
    </row>
    <row r="50" customFormat="false" ht="14.25" hidden="false" customHeight="true" outlineLevel="0" collapsed="false">
      <c r="A50" s="17"/>
      <c r="B50" s="17"/>
      <c r="C50" s="17"/>
      <c r="D50" s="13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H48"/>
  <sheetViews>
    <sheetView showFormulas="false" showGridLines="false" showRowColHeaders="true" showZeros="true" rightToLeft="false" tabSelected="false" showOutlineSymbols="true" defaultGridColor="true" view="normal" topLeftCell="A10" colorId="64" zoomScale="80" zoomScaleNormal="80" zoomScalePageLayoutView="100" workbookViewId="0">
      <pane xSplit="1" ySplit="3" topLeftCell="B4" activePane="bottomRight" state="frozen"/>
      <selection pane="topLeft" activeCell="A10" activeCellId="0" sqref="A10"/>
      <selection pane="topRight" activeCell="B10" activeCellId="0" sqref="B10"/>
      <selection pane="bottomLeft" activeCell="A4" activeCellId="0" sqref="A4"/>
      <selection pane="bottomRight" activeCell="A23" activeCellId="0" sqref="A23"/>
    </sheetView>
  </sheetViews>
  <sheetFormatPr defaultColWidth="14.45703125" defaultRowHeight="14.25" zeroHeight="false" outlineLevelRow="0" outlineLevelCol="0"/>
  <cols>
    <col collapsed="false" customWidth="true" hidden="false" outlineLevel="0" max="1" min="1" style="15" width="60"/>
    <col collapsed="false" customWidth="false" hidden="false" outlineLevel="0" max="4" min="2" style="15" width="14.46"/>
    <col collapsed="false" customWidth="true" hidden="false" outlineLevel="0" max="5" min="5" style="15" width="15.54"/>
    <col collapsed="false" customWidth="false" hidden="false" outlineLevel="0" max="8" min="6" style="15" width="14.46"/>
    <col collapsed="false" customWidth="true" hidden="false" outlineLevel="0" max="9" min="9" style="15" width="13.36"/>
    <col collapsed="false" customWidth="true" hidden="false" outlineLevel="0" max="12" min="10" style="15" width="11.54"/>
  </cols>
  <sheetData>
    <row r="1" customFormat="false" ht="14.25" hidden="false" customHeight="true" outlineLevel="0" collapsed="false">
      <c r="A1" s="34" t="s">
        <v>233</v>
      </c>
      <c r="B1" s="115"/>
      <c r="C1" s="115"/>
      <c r="D1" s="115"/>
      <c r="E1" s="115"/>
      <c r="F1" s="115"/>
      <c r="G1" s="115"/>
      <c r="H1" s="115"/>
    </row>
    <row r="2" customFormat="false" ht="14.25" hidden="false" customHeight="true" outlineLevel="0" collapsed="false">
      <c r="A2" s="17"/>
      <c r="B2" s="17"/>
      <c r="C2" s="17"/>
      <c r="D2" s="17"/>
      <c r="E2" s="17"/>
      <c r="F2" s="17"/>
      <c r="G2" s="17"/>
      <c r="H2" s="17"/>
    </row>
    <row r="3" customFormat="false" ht="14.25" hidden="false" customHeight="true" outlineLevel="0" collapsed="false">
      <c r="A3" s="138" t="s">
        <v>234</v>
      </c>
      <c r="B3" s="104" t="n">
        <v>2023</v>
      </c>
      <c r="C3" s="104" t="n">
        <v>2024</v>
      </c>
      <c r="D3" s="104" t="n">
        <v>2025</v>
      </c>
      <c r="E3" s="19"/>
      <c r="F3" s="19"/>
      <c r="G3" s="19"/>
      <c r="H3" s="19"/>
    </row>
    <row r="4" customFormat="false" ht="14.25" hidden="false" customHeight="true" outlineLevel="0" collapsed="false">
      <c r="A4" s="35" t="s">
        <v>235</v>
      </c>
      <c r="B4" s="93" t="n">
        <v>14873783</v>
      </c>
      <c r="C4" s="93" t="n">
        <v>17359369</v>
      </c>
      <c r="D4" s="93" t="n">
        <v>19957152</v>
      </c>
      <c r="E4" s="139"/>
      <c r="F4" s="139"/>
      <c r="G4" s="139"/>
      <c r="H4" s="139"/>
    </row>
    <row r="5" customFormat="false" ht="14.25" hidden="false" customHeight="true" outlineLevel="0" collapsed="false">
      <c r="A5" s="35" t="s">
        <v>236</v>
      </c>
      <c r="B5" s="17"/>
      <c r="C5" s="140" t="n">
        <f aca="false">(C4-B4)/B4</f>
        <v>0.167111890767803</v>
      </c>
      <c r="D5" s="140" t="n">
        <f aca="false">(D4-C4)/C4</f>
        <v>0.149647317249838</v>
      </c>
      <c r="E5" s="17"/>
      <c r="F5" s="17"/>
      <c r="G5" s="17"/>
      <c r="H5" s="17"/>
    </row>
    <row r="6" customFormat="false" ht="14.25" hidden="false" customHeight="true" outlineLevel="0" collapsed="false">
      <c r="A6" s="35" t="s">
        <v>237</v>
      </c>
      <c r="B6" s="93" t="n">
        <v>10556487</v>
      </c>
      <c r="C6" s="93" t="n">
        <v>12387035</v>
      </c>
      <c r="D6" s="93" t="n">
        <v>14514646</v>
      </c>
      <c r="E6" s="139"/>
      <c r="F6" s="139"/>
      <c r="G6" s="139"/>
      <c r="H6" s="139"/>
    </row>
    <row r="7" customFormat="false" ht="14.25" hidden="false" customHeight="true" outlineLevel="0" collapsed="false">
      <c r="A7" s="35" t="s">
        <v>236</v>
      </c>
      <c r="B7" s="17"/>
      <c r="C7" s="140" t="n">
        <f aca="false">(C6-B6)/B6</f>
        <v>0.173405035216735</v>
      </c>
      <c r="D7" s="140" t="n">
        <f aca="false">(D6-C6)/C6</f>
        <v>0.171761119589958</v>
      </c>
      <c r="E7" s="141"/>
      <c r="F7" s="141"/>
      <c r="G7" s="141"/>
      <c r="H7" s="141"/>
    </row>
    <row r="8" customFormat="false" ht="14.25" hidden="false" customHeight="true" outlineLevel="0" collapsed="false">
      <c r="A8" s="35" t="s">
        <v>238</v>
      </c>
      <c r="B8" s="93" t="n">
        <v>4446461</v>
      </c>
      <c r="C8" s="93" t="n">
        <v>4839816</v>
      </c>
      <c r="D8" s="93" t="n">
        <v>5357521</v>
      </c>
      <c r="E8" s="139"/>
      <c r="F8" s="139"/>
      <c r="G8" s="139"/>
      <c r="H8" s="139"/>
    </row>
    <row r="9" customFormat="false" ht="14.25" hidden="false" customHeight="true" outlineLevel="0" collapsed="false">
      <c r="A9" s="35" t="s">
        <v>236</v>
      </c>
      <c r="B9" s="17"/>
      <c r="C9" s="140" t="n">
        <f aca="false">(C8-B8)/B8</f>
        <v>0.0884647363375053</v>
      </c>
      <c r="D9" s="140" t="n">
        <f aca="false">(D8-C8)/C8</f>
        <v>0.106967909523833</v>
      </c>
      <c r="E9" s="141"/>
      <c r="F9" s="141"/>
      <c r="G9" s="141"/>
      <c r="H9" s="141"/>
    </row>
    <row r="10" customFormat="false" ht="14.25" hidden="false" customHeight="true" outlineLevel="0" collapsed="false">
      <c r="A10" s="35" t="s">
        <v>239</v>
      </c>
      <c r="B10" s="93" t="n">
        <v>3763727</v>
      </c>
      <c r="C10" s="93" t="n">
        <v>4414746</v>
      </c>
      <c r="D10" s="93" t="n">
        <v>5353717</v>
      </c>
      <c r="E10" s="139"/>
      <c r="F10" s="139"/>
      <c r="G10" s="139"/>
      <c r="H10" s="139"/>
    </row>
    <row r="11" customFormat="false" ht="14.25" hidden="false" customHeight="true" outlineLevel="0" collapsed="false">
      <c r="A11" s="35" t="s">
        <v>236</v>
      </c>
      <c r="B11" s="17"/>
      <c r="C11" s="140" t="n">
        <f aca="false">(C10-B10)/B10</f>
        <v>0.172971897270976</v>
      </c>
      <c r="D11" s="140" t="n">
        <f aca="false">(D10-C10)/C10</f>
        <v>0.212689699475349</v>
      </c>
      <c r="E11" s="141"/>
      <c r="F11" s="141"/>
      <c r="G11" s="141"/>
      <c r="H11" s="141"/>
    </row>
    <row r="12" customFormat="false" ht="14.25" hidden="false" customHeight="true" outlineLevel="0" collapsed="false">
      <c r="A12" s="35" t="s">
        <v>240</v>
      </c>
      <c r="B12" s="135" t="n">
        <v>33640458</v>
      </c>
      <c r="C12" s="135" t="n">
        <v>39000966</v>
      </c>
      <c r="D12" s="135" t="n">
        <v>45183036</v>
      </c>
      <c r="E12" s="139"/>
      <c r="F12" s="139"/>
      <c r="G12" s="139"/>
      <c r="H12" s="139"/>
    </row>
    <row r="13" customFormat="false" ht="14.25" hidden="false" customHeight="true" outlineLevel="0" collapsed="false">
      <c r="A13" s="35" t="s">
        <v>241</v>
      </c>
      <c r="B13" s="17"/>
      <c r="C13" s="142" t="n">
        <f aca="false">(C12-B12)/B12</f>
        <v>0.15934705764113</v>
      </c>
      <c r="D13" s="142" t="n">
        <f aca="false">(D12-C12)/C12</f>
        <v>0.158510689196775</v>
      </c>
      <c r="E13" s="141"/>
      <c r="F13" s="141"/>
      <c r="G13" s="141"/>
      <c r="H13" s="141"/>
    </row>
    <row r="14" customFormat="false" ht="14.25" hidden="false" customHeight="true" outlineLevel="0" collapsed="false">
      <c r="A14" s="17"/>
      <c r="B14" s="17"/>
      <c r="C14" s="17"/>
      <c r="D14" s="17"/>
      <c r="E14" s="17"/>
      <c r="F14" s="17"/>
      <c r="G14" s="17"/>
      <c r="H14" s="17"/>
    </row>
    <row r="15" customFormat="false" ht="14.25" hidden="false" customHeight="true" outlineLevel="0" collapsed="false">
      <c r="A15" s="35" t="s">
        <v>242</v>
      </c>
      <c r="B15" s="93" t="n">
        <v>82839</v>
      </c>
      <c r="C15" s="17"/>
      <c r="D15" s="17"/>
      <c r="E15" s="17"/>
      <c r="F15" s="17"/>
      <c r="G15" s="17"/>
      <c r="H15" s="17"/>
    </row>
    <row r="16" customFormat="false" ht="14.25" hidden="false" customHeight="true" outlineLevel="0" collapsed="false">
      <c r="A16" s="17"/>
      <c r="B16" s="17"/>
      <c r="C16" s="17"/>
      <c r="D16" s="17"/>
      <c r="E16" s="17"/>
      <c r="F16" s="17"/>
      <c r="G16" s="17"/>
      <c r="H16" s="17"/>
    </row>
    <row r="17" customFormat="false" ht="14.25" hidden="false" customHeight="true" outlineLevel="0" collapsed="false">
      <c r="A17" s="35" t="s">
        <v>243</v>
      </c>
      <c r="B17" s="93" t="n">
        <v>33723297</v>
      </c>
      <c r="C17" s="93" t="n">
        <v>39000966</v>
      </c>
      <c r="D17" s="93" t="n">
        <v>45183036</v>
      </c>
      <c r="E17" s="17"/>
      <c r="F17" s="17"/>
      <c r="G17" s="17"/>
      <c r="H17" s="17"/>
    </row>
    <row r="18" customFormat="false" ht="14.25" hidden="false" customHeight="true" outlineLevel="0" collapsed="false">
      <c r="A18" s="17"/>
      <c r="B18" s="17"/>
      <c r="C18" s="17"/>
      <c r="D18" s="17"/>
      <c r="E18" s="17"/>
      <c r="F18" s="17"/>
      <c r="G18" s="17"/>
      <c r="H18" s="17"/>
    </row>
    <row r="19" customFormat="false" ht="14.25" hidden="false" customHeight="true" outlineLevel="0" collapsed="false">
      <c r="A19" s="46" t="s">
        <v>244</v>
      </c>
      <c r="B19" s="17"/>
      <c r="C19" s="17"/>
      <c r="D19" s="17"/>
      <c r="E19" s="17"/>
      <c r="F19" s="17"/>
      <c r="G19" s="17"/>
      <c r="H19" s="17"/>
    </row>
    <row r="20" customFormat="false" ht="14.25" hidden="false" customHeight="true" outlineLevel="0" collapsed="false">
      <c r="A20" s="17"/>
      <c r="B20" s="17"/>
      <c r="C20" s="17"/>
      <c r="D20" s="17"/>
      <c r="E20" s="17"/>
      <c r="F20" s="17"/>
      <c r="G20" s="17"/>
      <c r="H20" s="17"/>
    </row>
    <row r="21" customFormat="false" ht="25.5" hidden="false" customHeight="true" outlineLevel="0" collapsed="false">
      <c r="A21" s="143" t="s">
        <v>245</v>
      </c>
      <c r="B21" s="143"/>
      <c r="C21" s="143"/>
      <c r="D21" s="143"/>
      <c r="E21" s="17"/>
      <c r="F21" s="17"/>
      <c r="G21" s="17"/>
      <c r="H21" s="17"/>
    </row>
    <row r="22" customFormat="false" ht="14.25" hidden="false" customHeight="true" outlineLevel="0" collapsed="false">
      <c r="A22" s="17"/>
      <c r="B22" s="17"/>
      <c r="C22" s="17"/>
      <c r="D22" s="17"/>
      <c r="E22" s="17"/>
      <c r="F22" s="17"/>
      <c r="G22" s="17"/>
      <c r="H22" s="17"/>
    </row>
    <row r="23" customFormat="false" ht="42.75" hidden="false" customHeight="true" outlineLevel="0" collapsed="false">
      <c r="A23" s="144" t="s">
        <v>246</v>
      </c>
      <c r="B23" s="144"/>
      <c r="C23" s="144"/>
      <c r="D23" s="144"/>
      <c r="E23" s="145"/>
      <c r="F23" s="145"/>
      <c r="G23" s="145"/>
      <c r="H23" s="145"/>
    </row>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sheetData>
  <mergeCells count="2">
    <mergeCell ref="A21:D21"/>
    <mergeCell ref="A23:D2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J1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14.45703125" defaultRowHeight="14.25" zeroHeight="false" outlineLevelRow="0" outlineLevelCol="0"/>
  <cols>
    <col collapsed="false" customWidth="true" hidden="false" outlineLevel="0" max="1" min="1" style="15" width="60"/>
    <col collapsed="false" customWidth="true" hidden="false" outlineLevel="0" max="2" min="2" style="146" width="14"/>
    <col collapsed="false" customWidth="true" hidden="false" outlineLevel="0" max="4" min="3" style="146" width="15"/>
    <col collapsed="false" customWidth="true" hidden="false" outlineLevel="0" max="11" min="5" style="15" width="14"/>
  </cols>
  <sheetData>
    <row r="1" customFormat="false" ht="24.75" hidden="false" customHeight="true" outlineLevel="0" collapsed="false">
      <c r="A1" s="34" t="s">
        <v>169</v>
      </c>
      <c r="B1" s="147"/>
      <c r="C1" s="147"/>
      <c r="D1" s="147"/>
      <c r="E1" s="17"/>
      <c r="F1" s="17"/>
      <c r="G1" s="17"/>
      <c r="H1" s="17"/>
      <c r="I1" s="17"/>
      <c r="J1" s="17"/>
    </row>
    <row r="2" customFormat="false" ht="14.25" hidden="false" customHeight="true" outlineLevel="0" collapsed="false">
      <c r="A2" s="148"/>
      <c r="B2" s="147"/>
      <c r="C2" s="147"/>
      <c r="D2" s="147"/>
      <c r="E2" s="149" t="s">
        <v>247</v>
      </c>
      <c r="F2" s="17"/>
      <c r="G2" s="17"/>
      <c r="H2" s="17"/>
      <c r="I2" s="17"/>
      <c r="J2" s="17"/>
    </row>
    <row r="3" customFormat="false" ht="14.25" hidden="false" customHeight="true" outlineLevel="0" collapsed="false">
      <c r="A3" s="138" t="s">
        <v>248</v>
      </c>
      <c r="B3" s="150" t="n">
        <v>2023</v>
      </c>
      <c r="C3" s="150" t="n">
        <v>2024</v>
      </c>
      <c r="D3" s="150" t="n">
        <v>2025</v>
      </c>
      <c r="E3" s="19" t="n">
        <v>2026</v>
      </c>
      <c r="F3" s="19" t="n">
        <v>2027</v>
      </c>
      <c r="G3" s="19" t="n">
        <v>2028</v>
      </c>
      <c r="H3" s="19" t="n">
        <v>2029</v>
      </c>
      <c r="I3" s="17"/>
      <c r="J3" s="17"/>
    </row>
    <row r="4" customFormat="false" ht="14.25" hidden="false" customHeight="true" outlineLevel="0" collapsed="false">
      <c r="A4" s="151" t="s">
        <v>249</v>
      </c>
      <c r="B4" s="152" t="n">
        <f aca="false">'P&amp;L Input'!C4</f>
        <v>19715368</v>
      </c>
      <c r="C4" s="152" t="n">
        <f aca="false">'P&amp;L Input'!D4</f>
        <v>21038464</v>
      </c>
      <c r="D4" s="152" t="n">
        <f aca="false">'P&amp;L Input'!E4</f>
        <v>23275329</v>
      </c>
      <c r="E4" s="153"/>
      <c r="F4" s="153"/>
      <c r="G4" s="153"/>
      <c r="H4" s="154"/>
      <c r="I4" s="17"/>
      <c r="J4" s="17"/>
    </row>
    <row r="5" customFormat="false" ht="14.25" hidden="false" customHeight="true" outlineLevel="0" collapsed="false">
      <c r="A5" s="155" t="s">
        <v>250</v>
      </c>
      <c r="B5" s="93" t="n">
        <v>0</v>
      </c>
      <c r="C5" s="93" t="n">
        <v>0</v>
      </c>
      <c r="D5" s="93" t="n">
        <v>-1116000</v>
      </c>
      <c r="E5" s="156"/>
      <c r="F5" s="156"/>
      <c r="G5" s="156"/>
      <c r="H5" s="157"/>
      <c r="I5" s="17"/>
      <c r="J5" s="17"/>
    </row>
    <row r="6" customFormat="false" ht="14.25" hidden="false" customHeight="true" outlineLevel="0" collapsed="false">
      <c r="A6" s="155" t="s">
        <v>251</v>
      </c>
      <c r="B6" s="158" t="n">
        <f aca="false">SUM(B4:B5)</f>
        <v>19715368</v>
      </c>
      <c r="C6" s="158" t="n">
        <f aca="false">SUM(C4:C5)</f>
        <v>21038464</v>
      </c>
      <c r="D6" s="158" t="n">
        <f aca="false">SUM(D4:D5)</f>
        <v>22159329</v>
      </c>
      <c r="E6" s="156"/>
      <c r="F6" s="156"/>
      <c r="G6" s="156"/>
      <c r="H6" s="157"/>
      <c r="I6" s="17"/>
      <c r="J6" s="17"/>
    </row>
    <row r="7" customFormat="false" ht="14.25" hidden="false" customHeight="true" outlineLevel="0" collapsed="false">
      <c r="A7" s="159" t="s">
        <v>252</v>
      </c>
      <c r="B7" s="160" t="n">
        <f aca="false">B6/'P&amp;L Input'!C3</f>
        <v>0.584621604465305</v>
      </c>
      <c r="C7" s="160" t="n">
        <f aca="false">C6/'P&amp;L Input'!D3</f>
        <v>0.539434433495827</v>
      </c>
      <c r="D7" s="160" t="n">
        <f aca="false">D6/'P&amp;L Input'!E3</f>
        <v>0.490434706512418</v>
      </c>
      <c r="E7" s="141"/>
      <c r="F7" s="141"/>
      <c r="G7" s="141"/>
      <c r="H7" s="161"/>
      <c r="I7" s="17"/>
      <c r="J7" s="17"/>
    </row>
    <row r="8" customFormat="false" ht="14.25" hidden="false" customHeight="true" outlineLevel="0" collapsed="false">
      <c r="A8" s="159" t="s">
        <v>253</v>
      </c>
      <c r="B8" s="162"/>
      <c r="C8" s="160" t="n">
        <f aca="false">(C6-B6)/B6</f>
        <v>0.0671098809821861</v>
      </c>
      <c r="D8" s="160" t="n">
        <f aca="false">(D6-C6)/C6</f>
        <v>0.0532769407500472</v>
      </c>
      <c r="E8" s="141"/>
      <c r="F8" s="141"/>
      <c r="G8" s="141"/>
      <c r="H8" s="161"/>
      <c r="I8" s="17"/>
      <c r="J8" s="17"/>
    </row>
    <row r="9" customFormat="false" ht="25.5" hidden="false" customHeight="true" outlineLevel="0" collapsed="false">
      <c r="A9" s="163" t="s">
        <v>254</v>
      </c>
      <c r="B9" s="163"/>
      <c r="C9" s="163"/>
      <c r="D9" s="163"/>
      <c r="E9" s="163"/>
      <c r="F9" s="163"/>
      <c r="G9" s="163"/>
      <c r="H9" s="163"/>
      <c r="I9" s="17"/>
      <c r="J9" s="17"/>
    </row>
    <row r="10" customFormat="false" ht="55.5" hidden="false" customHeight="true" outlineLevel="0" collapsed="false">
      <c r="A10" s="164" t="s">
        <v>255</v>
      </c>
      <c r="B10" s="164"/>
      <c r="C10" s="164"/>
      <c r="D10" s="164"/>
      <c r="E10" s="164"/>
      <c r="F10" s="164"/>
      <c r="G10" s="164"/>
      <c r="H10" s="164"/>
      <c r="I10" s="17"/>
      <c r="J10" s="17"/>
    </row>
    <row r="11" customFormat="false" ht="14.25" hidden="false" customHeight="true" outlineLevel="0" collapsed="false">
      <c r="A11" s="165"/>
      <c r="B11" s="166"/>
      <c r="C11" s="166"/>
      <c r="D11" s="166"/>
      <c r="E11" s="167"/>
      <c r="F11" s="167"/>
      <c r="G11" s="167"/>
      <c r="H11" s="168"/>
      <c r="I11" s="17"/>
      <c r="J11" s="17"/>
    </row>
    <row r="12" customFormat="false" ht="14.25" hidden="false" customHeight="true" outlineLevel="0" collapsed="false">
      <c r="A12" s="155" t="s">
        <v>256</v>
      </c>
      <c r="B12" s="169" t="n">
        <f aca="false">'P&amp;L Input'!C6</f>
        <v>2657883</v>
      </c>
      <c r="C12" s="169" t="n">
        <f aca="false">'P&amp;L Input'!D6</f>
        <v>2917554</v>
      </c>
      <c r="D12" s="169" t="n">
        <f aca="false">'P&amp;L Input'!E6</f>
        <v>3301306</v>
      </c>
      <c r="E12" s="170"/>
      <c r="F12" s="170"/>
      <c r="G12" s="170"/>
      <c r="H12" s="171"/>
      <c r="I12" s="17"/>
      <c r="J12" s="17"/>
    </row>
    <row r="13" customFormat="false" ht="14.25" hidden="false" customHeight="true" outlineLevel="0" collapsed="false">
      <c r="A13" s="159" t="s">
        <v>252</v>
      </c>
      <c r="B13" s="160" t="n">
        <f aca="false">B12/'P&amp;L Input'!C$3</f>
        <v>0.0788144468792598</v>
      </c>
      <c r="C13" s="160" t="n">
        <f aca="false">C12/'P&amp;L Input'!D$3</f>
        <v>0.0748072240056823</v>
      </c>
      <c r="D13" s="160" t="n">
        <f aca="false">D12/'P&amp;L Input'!E$3</f>
        <v>0.0730651654306718</v>
      </c>
      <c r="E13" s="141"/>
      <c r="F13" s="141"/>
      <c r="G13" s="141"/>
      <c r="H13" s="161"/>
      <c r="I13" s="17"/>
      <c r="J13" s="17"/>
    </row>
    <row r="14" customFormat="false" ht="14.25" hidden="false" customHeight="true" outlineLevel="0" collapsed="false">
      <c r="A14" s="159" t="s">
        <v>253</v>
      </c>
      <c r="B14" s="162"/>
      <c r="C14" s="160" t="n">
        <f aca="false">(C12-B12)/B12</f>
        <v>0.0976984314207962</v>
      </c>
      <c r="D14" s="160" t="n">
        <f aca="false">(D12-C12)/C12</f>
        <v>0.131532098463302</v>
      </c>
      <c r="E14" s="141"/>
      <c r="F14" s="141"/>
      <c r="G14" s="141"/>
      <c r="H14" s="161"/>
      <c r="I14" s="17"/>
      <c r="J14" s="17"/>
    </row>
    <row r="15" customFormat="false" ht="30" hidden="false" customHeight="true" outlineLevel="0" collapsed="false">
      <c r="A15" s="164" t="s">
        <v>257</v>
      </c>
      <c r="B15" s="164"/>
      <c r="C15" s="164"/>
      <c r="D15" s="164"/>
      <c r="E15" s="164"/>
      <c r="F15" s="164"/>
      <c r="G15" s="164"/>
      <c r="H15" s="164"/>
      <c r="I15" s="17"/>
      <c r="J15" s="17"/>
    </row>
    <row r="16" customFormat="false" ht="14.25" hidden="false" customHeight="true" outlineLevel="0" collapsed="false">
      <c r="A16" s="165"/>
      <c r="B16" s="166"/>
      <c r="C16" s="166"/>
      <c r="D16" s="166"/>
      <c r="E16" s="167"/>
      <c r="F16" s="167"/>
      <c r="G16" s="167"/>
      <c r="H16" s="168"/>
      <c r="I16" s="17"/>
      <c r="J16" s="17"/>
    </row>
    <row r="17" customFormat="false" ht="14.25" hidden="false" customHeight="true" outlineLevel="0" collapsed="false">
      <c r="A17" s="155" t="s">
        <v>258</v>
      </c>
      <c r="B17" s="169" t="n">
        <f aca="false">'P&amp;L Input'!C7</f>
        <v>2675758</v>
      </c>
      <c r="C17" s="169" t="n">
        <f aca="false">'P&amp;L Input'!D7</f>
        <v>2925295</v>
      </c>
      <c r="D17" s="169" t="n">
        <f aca="false">'P&amp;L Input'!E7</f>
        <v>3391390</v>
      </c>
      <c r="E17" s="170"/>
      <c r="F17" s="170"/>
      <c r="G17" s="170"/>
      <c r="H17" s="171"/>
      <c r="I17" s="17"/>
      <c r="J17" s="17"/>
    </row>
    <row r="18" customFormat="false" ht="14.25" hidden="false" customHeight="true" outlineLevel="0" collapsed="false">
      <c r="A18" s="159" t="s">
        <v>252</v>
      </c>
      <c r="B18" s="160" t="n">
        <f aca="false">B17/'P&amp;L Input'!C$3</f>
        <v>0.0793444958836617</v>
      </c>
      <c r="C18" s="160" t="n">
        <f aca="false">C17/'P&amp;L Input'!D$3</f>
        <v>0.0750057062689165</v>
      </c>
      <c r="D18" s="160" t="n">
        <f aca="false">D17/'P&amp;L Input'!E$3</f>
        <v>0.075058922556687</v>
      </c>
      <c r="E18" s="141"/>
      <c r="F18" s="141"/>
      <c r="G18" s="141"/>
      <c r="H18" s="161"/>
      <c r="I18" s="17"/>
      <c r="J18" s="17"/>
    </row>
    <row r="19" customFormat="false" ht="14.25" hidden="false" customHeight="true" outlineLevel="0" collapsed="false">
      <c r="A19" s="159" t="s">
        <v>253</v>
      </c>
      <c r="B19" s="162"/>
      <c r="C19" s="160" t="n">
        <f aca="false">(C17-B17)/B17</f>
        <v>0.0932584336849596</v>
      </c>
      <c r="D19" s="160" t="n">
        <f aca="false">(D17-C17)/C17</f>
        <v>0.159332648502117</v>
      </c>
      <c r="E19" s="141"/>
      <c r="F19" s="141"/>
      <c r="G19" s="141"/>
      <c r="H19" s="161"/>
      <c r="I19" s="17"/>
      <c r="J19" s="17"/>
    </row>
    <row r="20" customFormat="false" ht="27" hidden="false" customHeight="true" outlineLevel="0" collapsed="false">
      <c r="A20" s="164" t="s">
        <v>259</v>
      </c>
      <c r="B20" s="164"/>
      <c r="C20" s="164"/>
      <c r="D20" s="164"/>
      <c r="E20" s="164"/>
      <c r="F20" s="164"/>
      <c r="G20" s="164"/>
      <c r="H20" s="164"/>
      <c r="I20" s="17"/>
      <c r="J20" s="17"/>
    </row>
    <row r="21" customFormat="false" ht="14.25" hidden="false" customHeight="true" outlineLevel="0" collapsed="false">
      <c r="A21" s="165"/>
      <c r="B21" s="166"/>
      <c r="C21" s="166"/>
      <c r="D21" s="166"/>
      <c r="E21" s="167"/>
      <c r="F21" s="167"/>
      <c r="G21" s="167"/>
      <c r="H21" s="168"/>
      <c r="I21" s="17"/>
      <c r="J21" s="17"/>
    </row>
    <row r="22" customFormat="false" ht="14.25" hidden="false" customHeight="true" outlineLevel="0" collapsed="false">
      <c r="A22" s="155" t="s">
        <v>260</v>
      </c>
      <c r="B22" s="169" t="n">
        <f aca="false">'P&amp;L Input'!C8</f>
        <v>1720285</v>
      </c>
      <c r="C22" s="169" t="n">
        <f aca="false">'P&amp;L Input'!D8</f>
        <v>1702039</v>
      </c>
      <c r="D22" s="169" t="n">
        <f aca="false">'P&amp;L Input'!E8</f>
        <v>1888408</v>
      </c>
      <c r="E22" s="170"/>
      <c r="F22" s="170"/>
      <c r="G22" s="170"/>
      <c r="H22" s="171"/>
      <c r="I22" s="17"/>
      <c r="J22" s="17"/>
    </row>
    <row r="23" customFormat="false" ht="14.25" hidden="false" customHeight="true" outlineLevel="0" collapsed="false">
      <c r="A23" s="159" t="s">
        <v>252</v>
      </c>
      <c r="B23" s="160" t="n">
        <f aca="false">B22/'P&amp;L Input'!C$3</f>
        <v>0.0510117679181843</v>
      </c>
      <c r="C23" s="160" t="n">
        <f aca="false">C22/'P&amp;L Input'!D$3</f>
        <v>0.0436409446883957</v>
      </c>
      <c r="D23" s="160" t="n">
        <f aca="false">D22/'P&amp;L Input'!E$3</f>
        <v>0.0417946239823282</v>
      </c>
      <c r="E23" s="141"/>
      <c r="F23" s="141"/>
      <c r="G23" s="141"/>
      <c r="H23" s="161"/>
      <c r="I23" s="17"/>
      <c r="J23" s="17"/>
    </row>
    <row r="24" customFormat="false" ht="14.25" hidden="false" customHeight="true" outlineLevel="0" collapsed="false">
      <c r="A24" s="159" t="s">
        <v>253</v>
      </c>
      <c r="B24" s="162"/>
      <c r="C24" s="160" t="n">
        <f aca="false">(C22-B22)/B22</f>
        <v>-0.0106063820820387</v>
      </c>
      <c r="D24" s="160" t="n">
        <f aca="false">(D22-C22)/C22</f>
        <v>0.10949749095056</v>
      </c>
      <c r="E24" s="141"/>
      <c r="F24" s="141"/>
      <c r="G24" s="141"/>
      <c r="H24" s="161"/>
      <c r="I24" s="17"/>
      <c r="J24" s="17"/>
    </row>
    <row r="25" customFormat="false" ht="58.5" hidden="false" customHeight="true" outlineLevel="0" collapsed="false">
      <c r="A25" s="164" t="s">
        <v>261</v>
      </c>
      <c r="B25" s="164"/>
      <c r="C25" s="164"/>
      <c r="D25" s="164"/>
      <c r="E25" s="164"/>
      <c r="F25" s="164"/>
      <c r="G25" s="164"/>
      <c r="H25" s="164"/>
      <c r="I25" s="17"/>
      <c r="J25" s="17"/>
    </row>
    <row r="26" customFormat="false" ht="14.25" hidden="false" customHeight="true" outlineLevel="0" collapsed="false">
      <c r="A26" s="165"/>
      <c r="B26" s="166"/>
      <c r="C26" s="166"/>
      <c r="D26" s="166"/>
      <c r="E26" s="167"/>
      <c r="F26" s="167"/>
      <c r="G26" s="167"/>
      <c r="H26" s="168"/>
      <c r="I26" s="17"/>
      <c r="J26" s="17"/>
    </row>
    <row r="27" customFormat="false" ht="14.25" hidden="false" customHeight="true" outlineLevel="0" collapsed="false">
      <c r="A27" s="155" t="s">
        <v>262</v>
      </c>
      <c r="B27" s="172" t="n">
        <f aca="false">'Balance Sheet Input'!B8</f>
        <v>2780247</v>
      </c>
      <c r="C27" s="172" t="n">
        <f aca="false">'Balance Sheet Input'!C8</f>
        <v>3516640</v>
      </c>
      <c r="D27" s="172" t="n">
        <f aca="false">'Balance Sheet Input'!D8</f>
        <v>3957832</v>
      </c>
      <c r="E27" s="170"/>
      <c r="F27" s="170"/>
      <c r="G27" s="170"/>
      <c r="H27" s="171"/>
      <c r="I27" s="17"/>
      <c r="J27" s="17"/>
    </row>
    <row r="28" customFormat="false" ht="14.25" hidden="false" customHeight="true" outlineLevel="0" collapsed="false">
      <c r="A28" s="173" t="s">
        <v>252</v>
      </c>
      <c r="B28" s="160" t="n">
        <f aca="false">B27/'P&amp;L Input'!C3</f>
        <v>0.0824429177253932</v>
      </c>
      <c r="C28" s="160" t="n">
        <f aca="false">C27/'P&amp;L Input'!D3</f>
        <v>0.0901680230176863</v>
      </c>
      <c r="D28" s="160" t="n">
        <f aca="false">D27/'P&amp;L Input'!E3</f>
        <v>0.0875955303224865</v>
      </c>
      <c r="E28" s="141"/>
      <c r="F28" s="141"/>
      <c r="G28" s="141"/>
      <c r="H28" s="161"/>
      <c r="I28" s="17"/>
      <c r="J28" s="17"/>
    </row>
    <row r="29" customFormat="false" ht="14.25" hidden="false" customHeight="true" outlineLevel="0" collapsed="false">
      <c r="A29" s="174" t="s">
        <v>253</v>
      </c>
      <c r="B29" s="175"/>
      <c r="C29" s="176" t="n">
        <f aca="false">(C27-B27)/B27</f>
        <v>0.264866035283915</v>
      </c>
      <c r="D29" s="176" t="n">
        <f aca="false">(D27-C27)/C27</f>
        <v>0.125458392101552</v>
      </c>
      <c r="E29" s="177"/>
      <c r="F29" s="177"/>
      <c r="G29" s="177"/>
      <c r="H29" s="178"/>
      <c r="I29" s="17"/>
      <c r="J29" s="17"/>
    </row>
    <row r="30" customFormat="false" ht="14.25" hidden="false" customHeight="true" outlineLevel="0" collapsed="false">
      <c r="A30" s="155" t="s">
        <v>263</v>
      </c>
      <c r="B30" s="172" t="n">
        <f aca="false">'Balance Sheet Input'!B18</f>
        <v>747412</v>
      </c>
      <c r="C30" s="172" t="n">
        <f aca="false">'Balance Sheet Input'!C18</f>
        <v>899909</v>
      </c>
      <c r="D30" s="172" t="n">
        <f aca="false">'Balance Sheet Input'!D18</f>
        <v>900612</v>
      </c>
      <c r="E30" s="137"/>
      <c r="F30" s="137"/>
      <c r="G30" s="137"/>
      <c r="H30" s="179"/>
      <c r="I30" s="17"/>
      <c r="J30" s="17"/>
    </row>
    <row r="31" customFormat="false" ht="14.25" hidden="false" customHeight="true" outlineLevel="0" collapsed="false">
      <c r="A31" s="155" t="s">
        <v>264</v>
      </c>
      <c r="B31" s="180" t="n">
        <f aca="false">(B30/B4)*365</f>
        <v>13.8371944160515</v>
      </c>
      <c r="C31" s="180" t="n">
        <f aca="false">(C30/C4)*365</f>
        <v>15.6126789959571</v>
      </c>
      <c r="D31" s="180" t="n">
        <f aca="false">(D30/D4)*365</f>
        <v>14.1232538538983</v>
      </c>
      <c r="E31" s="170"/>
      <c r="F31" s="170"/>
      <c r="G31" s="170"/>
      <c r="H31" s="171"/>
      <c r="I31" s="17"/>
      <c r="J31" s="17"/>
    </row>
    <row r="32" customFormat="false" ht="14.25" hidden="false" customHeight="true" outlineLevel="0" collapsed="false">
      <c r="A32" s="159" t="s">
        <v>253</v>
      </c>
      <c r="B32" s="162"/>
      <c r="C32" s="160" t="n">
        <f aca="false">(C30-B30)/B30</f>
        <v>0.204033384532226</v>
      </c>
      <c r="D32" s="160" t="n">
        <f aca="false">(D30-C30)/C30</f>
        <v>0.00078119009810992</v>
      </c>
      <c r="E32" s="141"/>
      <c r="F32" s="141"/>
      <c r="G32" s="141"/>
      <c r="H32" s="161"/>
      <c r="I32" s="17"/>
      <c r="J32" s="17"/>
    </row>
    <row r="33" customFormat="false" ht="14.25" hidden="false" customHeight="true" outlineLevel="0" collapsed="false">
      <c r="A33" s="151" t="s">
        <v>265</v>
      </c>
      <c r="B33" s="181" t="n">
        <f aca="false">'Balance Sheet Input'!B19</f>
        <v>1803960</v>
      </c>
      <c r="C33" s="181" t="n">
        <f aca="false">'Balance Sheet Input'!C19</f>
        <v>2156544</v>
      </c>
      <c r="D33" s="181" t="n">
        <f aca="false">'Balance Sheet Input'!D19</f>
        <v>3220869</v>
      </c>
      <c r="E33" s="182"/>
      <c r="F33" s="182"/>
      <c r="G33" s="182"/>
      <c r="H33" s="183"/>
      <c r="I33" s="17"/>
      <c r="J33" s="17"/>
    </row>
    <row r="34" customFormat="false" ht="14.25" hidden="false" customHeight="true" outlineLevel="0" collapsed="false">
      <c r="A34" s="159" t="s">
        <v>252</v>
      </c>
      <c r="B34" s="160" t="n">
        <f aca="false">B33/'P&amp;L Input'!C3</f>
        <v>0.0534929903206083</v>
      </c>
      <c r="C34" s="160" t="n">
        <f aca="false">C33/'P&amp;L Input'!D3</f>
        <v>0.0552946303945395</v>
      </c>
      <c r="D34" s="160" t="n">
        <f aca="false">D33/'P&amp;L Input'!E3</f>
        <v>0.0712849176403286</v>
      </c>
      <c r="E34" s="141"/>
      <c r="F34" s="141"/>
      <c r="G34" s="141"/>
      <c r="H34" s="161"/>
      <c r="I34" s="17"/>
      <c r="J34" s="17"/>
    </row>
    <row r="35" customFormat="false" ht="14.25" hidden="false" customHeight="true" outlineLevel="0" collapsed="false">
      <c r="A35" s="159" t="s">
        <v>253</v>
      </c>
      <c r="B35" s="162"/>
      <c r="C35" s="160" t="n">
        <f aca="false">(C33-B33)/B33</f>
        <v>0.195450009978048</v>
      </c>
      <c r="D35" s="160" t="n">
        <f aca="false">(D33-C33)/C33</f>
        <v>0.493532707888177</v>
      </c>
      <c r="E35" s="141"/>
      <c r="F35" s="141"/>
      <c r="G35" s="141"/>
      <c r="H35" s="161"/>
      <c r="I35" s="17"/>
      <c r="J35" s="17"/>
    </row>
    <row r="36" customFormat="false" ht="14.25" hidden="false" customHeight="true" outlineLevel="0" collapsed="false">
      <c r="A36" s="151" t="s">
        <v>266</v>
      </c>
      <c r="B36" s="181" t="n">
        <f aca="false">'Balance Sheet Input'!B20</f>
        <v>1442969</v>
      </c>
      <c r="C36" s="181" t="n">
        <f aca="false">'Balance Sheet Input'!C20</f>
        <v>1520813</v>
      </c>
      <c r="D36" s="181" t="n">
        <f aca="false">'Balance Sheet Input'!D20</f>
        <v>1775730</v>
      </c>
      <c r="E36" s="182"/>
      <c r="F36" s="182"/>
      <c r="G36" s="182"/>
      <c r="H36" s="183"/>
      <c r="I36" s="17"/>
      <c r="J36" s="17"/>
    </row>
    <row r="37" customFormat="false" ht="14.25" hidden="false" customHeight="true" outlineLevel="0" collapsed="false">
      <c r="A37" s="159" t="s">
        <v>252</v>
      </c>
      <c r="B37" s="160" t="n">
        <f aca="false">B36/'P&amp;L Input'!C3</f>
        <v>0.0427884912913468</v>
      </c>
      <c r="C37" s="160" t="n">
        <f aca="false">C36/'P&amp;L Input'!D3</f>
        <v>0.038994239270894</v>
      </c>
      <c r="D37" s="160" t="n">
        <f aca="false">D36/'P&amp;L Input'!E3</f>
        <v>0.0393008119241921</v>
      </c>
      <c r="E37" s="141"/>
      <c r="F37" s="141"/>
      <c r="G37" s="141"/>
      <c r="H37" s="161"/>
      <c r="I37" s="17"/>
      <c r="J37" s="17"/>
    </row>
    <row r="38" customFormat="false" ht="14.25" hidden="false" customHeight="true" outlineLevel="0" collapsed="false">
      <c r="A38" s="159" t="s">
        <v>253</v>
      </c>
      <c r="B38" s="162"/>
      <c r="C38" s="160" t="n">
        <f aca="false">(C36-B36)/B36</f>
        <v>0.0539471048927593</v>
      </c>
      <c r="D38" s="160" t="n">
        <f aca="false">(D36-C36)/C36</f>
        <v>0.167618898575959</v>
      </c>
      <c r="E38" s="141"/>
      <c r="F38" s="141"/>
      <c r="G38" s="141"/>
      <c r="H38" s="161"/>
      <c r="I38" s="17"/>
      <c r="J38" s="17"/>
    </row>
    <row r="39" customFormat="false" ht="14.25" hidden="false" customHeight="true" outlineLevel="0" collapsed="false">
      <c r="A39" s="151" t="s">
        <v>267</v>
      </c>
      <c r="B39" s="152" t="n">
        <f aca="false">'P&amp;L Input'!C11</f>
        <v>-699826</v>
      </c>
      <c r="C39" s="152" t="n">
        <f aca="false">'P&amp;L Input'!D11</f>
        <v>-718733</v>
      </c>
      <c r="D39" s="152" t="n">
        <f aca="false">'P&amp;L Input'!E11</f>
        <v>-776510</v>
      </c>
      <c r="E39" s="167"/>
      <c r="F39" s="167"/>
      <c r="G39" s="167"/>
      <c r="H39" s="168"/>
      <c r="I39" s="17"/>
      <c r="J39" s="17"/>
    </row>
    <row r="40" customFormat="false" ht="14.25" hidden="false" customHeight="true" outlineLevel="0" collapsed="false">
      <c r="A40" s="159" t="s">
        <v>252</v>
      </c>
      <c r="B40" s="160" t="n">
        <f aca="false">B39/'P&amp;L Input'!C$3</f>
        <v>-0.0207520041708852</v>
      </c>
      <c r="C40" s="160" t="n">
        <f aca="false">C39/'P&amp;L Input'!D$3</f>
        <v>-0.0184285948199334</v>
      </c>
      <c r="D40" s="160" t="n">
        <f aca="false">D39/'P&amp;L Input'!E$3</f>
        <v>-0.0171858748048715</v>
      </c>
      <c r="E40" s="17"/>
      <c r="F40" s="17"/>
      <c r="G40" s="17"/>
      <c r="H40" s="184"/>
      <c r="I40" s="17"/>
      <c r="J40" s="17"/>
    </row>
    <row r="41" customFormat="false" ht="14.25" hidden="false" customHeight="true" outlineLevel="0" collapsed="false">
      <c r="A41" s="159" t="s">
        <v>253</v>
      </c>
      <c r="B41" s="162"/>
      <c r="C41" s="160" t="n">
        <f aca="false">(C39-B39)/B39</f>
        <v>0.0270167155835879</v>
      </c>
      <c r="D41" s="160" t="n">
        <f aca="false">(D39-C39)/C39</f>
        <v>0.0803872926385737</v>
      </c>
      <c r="E41" s="141"/>
      <c r="F41" s="141"/>
      <c r="G41" s="141"/>
      <c r="H41" s="161"/>
      <c r="I41" s="17"/>
      <c r="J41" s="17"/>
    </row>
    <row r="42" customFormat="false" ht="55.5" hidden="false" customHeight="true" outlineLevel="0" collapsed="false">
      <c r="A42" s="164" t="s">
        <v>268</v>
      </c>
      <c r="B42" s="164"/>
      <c r="C42" s="164"/>
      <c r="D42" s="164"/>
      <c r="E42" s="164"/>
      <c r="F42" s="164"/>
      <c r="G42" s="164"/>
      <c r="H42" s="164"/>
      <c r="I42" s="17"/>
      <c r="J42" s="17"/>
    </row>
    <row r="43" customFormat="false" ht="14.25" hidden="false" customHeight="true" outlineLevel="0" collapsed="false">
      <c r="A43" s="165"/>
      <c r="B43" s="166"/>
      <c r="C43" s="166"/>
      <c r="D43" s="166"/>
      <c r="E43" s="167"/>
      <c r="F43" s="167"/>
      <c r="G43" s="167"/>
      <c r="H43" s="168"/>
      <c r="I43" s="17"/>
      <c r="J43" s="17"/>
    </row>
    <row r="44" customFormat="false" ht="14.25" hidden="false" customHeight="true" outlineLevel="0" collapsed="false">
      <c r="A44" s="155" t="s">
        <v>269</v>
      </c>
      <c r="B44" s="169" t="n">
        <f aca="false">'P&amp;L Input'!C12</f>
        <v>-48772</v>
      </c>
      <c r="C44" s="169" t="n">
        <f aca="false">'P&amp;L Input'!D12</f>
        <v>266776</v>
      </c>
      <c r="D44" s="169" t="n">
        <f aca="false">'P&amp;L Input'!E12</f>
        <v>172459</v>
      </c>
      <c r="E44" s="17"/>
      <c r="F44" s="17"/>
      <c r="G44" s="17"/>
      <c r="H44" s="184"/>
      <c r="I44" s="17"/>
      <c r="J44" s="17"/>
    </row>
    <row r="45" customFormat="false" ht="14.25" hidden="false" customHeight="true" outlineLevel="0" collapsed="false">
      <c r="A45" s="159" t="s">
        <v>252</v>
      </c>
      <c r="B45" s="160" t="n">
        <f aca="false">B44/'P&amp;L Input'!C$3</f>
        <v>-0.00144624056182882</v>
      </c>
      <c r="C45" s="160" t="n">
        <f aca="false">C44/'P&amp;L Input'!D$3</f>
        <v>0.00684024082890665</v>
      </c>
      <c r="D45" s="160" t="n">
        <f aca="false">D44/'P&amp;L Input'!E$3</f>
        <v>0.00381689712041484</v>
      </c>
      <c r="E45" s="17"/>
      <c r="F45" s="17"/>
      <c r="G45" s="17"/>
      <c r="H45" s="184"/>
      <c r="I45" s="17"/>
      <c r="J45" s="17"/>
    </row>
    <row r="46" customFormat="false" ht="14.25" hidden="false" customHeight="true" outlineLevel="0" collapsed="false">
      <c r="A46" s="159" t="s">
        <v>253</v>
      </c>
      <c r="B46" s="162"/>
      <c r="C46" s="160" t="n">
        <f aca="false">(C44-B44)/B44</f>
        <v>-6.46985975559747</v>
      </c>
      <c r="D46" s="160" t="n">
        <f aca="false">(D44-C44)/C44</f>
        <v>-0.353543797043212</v>
      </c>
      <c r="E46" s="141"/>
      <c r="F46" s="141"/>
      <c r="G46" s="141"/>
      <c r="H46" s="161"/>
      <c r="I46" s="17"/>
      <c r="J46" s="17"/>
    </row>
    <row r="47" customFormat="false" ht="30" hidden="false" customHeight="true" outlineLevel="0" collapsed="false">
      <c r="A47" s="164" t="s">
        <v>270</v>
      </c>
      <c r="B47" s="164"/>
      <c r="C47" s="164"/>
      <c r="D47" s="164"/>
      <c r="E47" s="164"/>
      <c r="F47" s="164"/>
      <c r="G47" s="164"/>
      <c r="H47" s="164"/>
      <c r="I47" s="17"/>
      <c r="J47" s="17"/>
    </row>
    <row r="48" customFormat="false" ht="14.25" hidden="false" customHeight="true" outlineLevel="0" collapsed="false">
      <c r="A48" s="165"/>
      <c r="B48" s="166"/>
      <c r="C48" s="166"/>
      <c r="D48" s="166"/>
      <c r="E48" s="167"/>
      <c r="F48" s="167"/>
      <c r="G48" s="167"/>
      <c r="H48" s="168"/>
      <c r="I48" s="17"/>
      <c r="J48" s="17"/>
    </row>
    <row r="49" customFormat="false" ht="14.25" hidden="false" customHeight="true" outlineLevel="0" collapsed="false">
      <c r="A49" s="155" t="s">
        <v>138</v>
      </c>
      <c r="B49" s="93" t="n">
        <v>797415</v>
      </c>
      <c r="C49" s="93" t="n">
        <v>1254026</v>
      </c>
      <c r="D49" s="93" t="n">
        <v>1741351</v>
      </c>
      <c r="E49" s="17"/>
      <c r="F49" s="17"/>
      <c r="G49" s="17"/>
      <c r="H49" s="184"/>
      <c r="I49" s="17"/>
      <c r="J49" s="17"/>
    </row>
    <row r="50" customFormat="false" ht="14.25" hidden="false" customHeight="true" outlineLevel="0" collapsed="false">
      <c r="A50" s="155" t="s">
        <v>271</v>
      </c>
      <c r="B50" s="160" t="n">
        <f aca="false">B49/'P&amp;L Input'!C13</f>
        <v>0.128503296722776</v>
      </c>
      <c r="C50" s="160" t="n">
        <f aca="false">C49/'P&amp;L Input'!D13</f>
        <v>0.125834754296681</v>
      </c>
      <c r="D50" s="160" t="n">
        <f aca="false">D49/'P&amp;L Input'!E13</f>
        <v>0.136871203198855</v>
      </c>
      <c r="E50" s="17"/>
      <c r="F50" s="17"/>
      <c r="G50" s="17"/>
      <c r="H50" s="184"/>
      <c r="I50" s="17"/>
      <c r="J50" s="17"/>
    </row>
    <row r="51" customFormat="false" ht="14.25" hidden="false" customHeight="true" outlineLevel="0" collapsed="false">
      <c r="A51" s="185"/>
      <c r="B51" s="147"/>
      <c r="C51" s="147"/>
      <c r="D51" s="147"/>
      <c r="E51" s="17"/>
      <c r="F51" s="17"/>
      <c r="G51" s="17"/>
      <c r="H51" s="184"/>
      <c r="I51" s="17"/>
      <c r="J51" s="17"/>
    </row>
    <row r="52" customFormat="false" ht="49.5" hidden="false" customHeight="true" outlineLevel="0" collapsed="false">
      <c r="A52" s="186" t="s">
        <v>272</v>
      </c>
      <c r="B52" s="186"/>
      <c r="C52" s="186"/>
      <c r="D52" s="186"/>
      <c r="E52" s="186"/>
      <c r="F52" s="186"/>
      <c r="G52" s="186"/>
      <c r="H52" s="186"/>
      <c r="I52" s="17"/>
      <c r="J52" s="17"/>
    </row>
    <row r="53" customFormat="false" ht="14.25" hidden="false" customHeight="true" outlineLevel="0" collapsed="false">
      <c r="A53" s="17"/>
      <c r="B53" s="147"/>
      <c r="C53" s="147"/>
      <c r="D53" s="147"/>
      <c r="E53" s="17"/>
      <c r="F53" s="17"/>
      <c r="G53" s="17"/>
      <c r="H53" s="17"/>
      <c r="I53" s="17"/>
      <c r="J53" s="17"/>
    </row>
    <row r="54" customFormat="false" ht="14.25" hidden="false" customHeight="true" outlineLevel="0" collapsed="false">
      <c r="A54" s="17"/>
      <c r="B54" s="162"/>
      <c r="C54" s="162"/>
      <c r="D54" s="162"/>
      <c r="E54" s="17"/>
      <c r="F54" s="17"/>
      <c r="G54" s="17"/>
      <c r="H54" s="17"/>
      <c r="I54" s="17"/>
      <c r="J54" s="17"/>
    </row>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sheetData>
  <mergeCells count="8">
    <mergeCell ref="A9:H9"/>
    <mergeCell ref="A10:H10"/>
    <mergeCell ref="A15:H15"/>
    <mergeCell ref="A20:H20"/>
    <mergeCell ref="A25:H25"/>
    <mergeCell ref="A42:H42"/>
    <mergeCell ref="A47:H47"/>
    <mergeCell ref="A52:H5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I210"/>
  <sheetViews>
    <sheetView showFormulas="false" showGridLines="false" showRowColHeaders="true" showZeros="true" rightToLeft="false" tabSelected="false" showOutlineSymbols="true" defaultGridColor="true" view="normal" topLeftCell="A28" colorId="64" zoomScale="80" zoomScaleNormal="80" zoomScalePageLayoutView="100" workbookViewId="0">
      <pane xSplit="1" ySplit="3" topLeftCell="B4" activePane="bottomRight" state="frozen"/>
      <selection pane="topLeft" activeCell="A28" activeCellId="0" sqref="A28"/>
      <selection pane="topRight" activeCell="B28" activeCellId="0" sqref="B28"/>
      <selection pane="bottomLeft" activeCell="A4" activeCellId="0" sqref="A4"/>
      <selection pane="bottomRight" activeCell="A153" activeCellId="0" sqref="A153"/>
    </sheetView>
  </sheetViews>
  <sheetFormatPr defaultColWidth="14.45703125" defaultRowHeight="14.25" zeroHeight="false" outlineLevelRow="0" outlineLevelCol="0"/>
  <cols>
    <col collapsed="false" customWidth="true" hidden="false" outlineLevel="0" max="1" min="1" style="15" width="60"/>
    <col collapsed="false" customWidth="true" hidden="false" outlineLevel="0" max="2" min="2" style="15" width="27.73"/>
    <col collapsed="false" customWidth="true" hidden="false" outlineLevel="0" max="3" min="3" style="15" width="33.18"/>
    <col collapsed="false" customWidth="true" hidden="false" outlineLevel="0" max="4" min="4" style="15" width="26.54"/>
    <col collapsed="false" customWidth="true" hidden="false" outlineLevel="0" max="5" min="5" style="15" width="29.9"/>
    <col collapsed="false" customWidth="true" hidden="false" outlineLevel="0" max="7" min="6" style="15" width="22"/>
    <col collapsed="false" customWidth="true" hidden="false" outlineLevel="0" max="8" min="8" style="15" width="18.36"/>
    <col collapsed="false" customWidth="true" hidden="false" outlineLevel="0" max="9" min="9" style="15" width="17"/>
    <col collapsed="false" customWidth="true" hidden="false" outlineLevel="0" max="26" min="10" style="15" width="8.72"/>
  </cols>
  <sheetData>
    <row r="1" customFormat="false" ht="25.5" hidden="false" customHeight="true" outlineLevel="0" collapsed="false">
      <c r="A1" s="187" t="s">
        <v>273</v>
      </c>
      <c r="B1" s="187"/>
      <c r="C1" s="187"/>
      <c r="D1" s="187"/>
      <c r="E1" s="187"/>
      <c r="F1" s="187"/>
      <c r="G1" s="187"/>
      <c r="H1" s="187"/>
      <c r="I1" s="17"/>
    </row>
    <row r="2" customFormat="false" ht="14.25" hidden="false" customHeight="true" outlineLevel="0" collapsed="false">
      <c r="A2" s="17"/>
      <c r="B2" s="17"/>
      <c r="C2" s="17"/>
      <c r="D2" s="17"/>
      <c r="E2" s="17"/>
      <c r="F2" s="17"/>
      <c r="G2" s="17"/>
      <c r="H2" s="17"/>
      <c r="I2" s="17"/>
    </row>
    <row r="3" customFormat="false" ht="14.25" hidden="false" customHeight="true" outlineLevel="0" collapsed="false">
      <c r="A3" s="188" t="s">
        <v>248</v>
      </c>
      <c r="B3" s="104" t="n">
        <v>2023</v>
      </c>
      <c r="C3" s="104" t="n">
        <v>2024</v>
      </c>
      <c r="D3" s="104" t="n">
        <v>2025</v>
      </c>
      <c r="E3" s="19"/>
      <c r="F3" s="19"/>
      <c r="G3" s="19"/>
      <c r="H3" s="19"/>
      <c r="I3" s="17"/>
    </row>
    <row r="4" customFormat="false" ht="14.25" hidden="false" customHeight="true" outlineLevel="0" collapsed="false">
      <c r="A4" s="35" t="s">
        <v>274</v>
      </c>
      <c r="B4" s="17"/>
      <c r="C4" s="97" t="n">
        <f aca="false">B7</f>
        <v>1491444</v>
      </c>
      <c r="D4" s="97" t="n">
        <f aca="false">C7</f>
        <v>1593756</v>
      </c>
      <c r="E4" s="137"/>
      <c r="F4" s="137"/>
      <c r="G4" s="137"/>
      <c r="H4" s="137"/>
      <c r="I4" s="17"/>
    </row>
    <row r="5" customFormat="false" ht="14.25" hidden="false" customHeight="true" outlineLevel="0" collapsed="false">
      <c r="A5" s="35" t="s">
        <v>275</v>
      </c>
      <c r="B5" s="17"/>
      <c r="C5" s="97" t="n">
        <f aca="false">C7+C6-C4</f>
        <v>205891</v>
      </c>
      <c r="D5" s="97" t="n">
        <f aca="false">D7+D6-D4</f>
        <v>526304</v>
      </c>
      <c r="E5" s="137"/>
      <c r="F5" s="137"/>
      <c r="G5" s="137"/>
      <c r="H5" s="137"/>
      <c r="I5" s="17"/>
    </row>
    <row r="6" customFormat="false" ht="14.25" hidden="false" customHeight="true" outlineLevel="0" collapsed="false">
      <c r="A6" s="35" t="s">
        <v>276</v>
      </c>
      <c r="B6" s="93" t="n">
        <v>83157</v>
      </c>
      <c r="C6" s="93" t="n">
        <v>103579</v>
      </c>
      <c r="D6" s="93" t="n">
        <v>115710</v>
      </c>
      <c r="E6" s="137"/>
      <c r="F6" s="137"/>
      <c r="G6" s="137"/>
      <c r="H6" s="137"/>
      <c r="I6" s="17"/>
    </row>
    <row r="7" customFormat="false" ht="14.25" hidden="false" customHeight="true" outlineLevel="0" collapsed="false">
      <c r="A7" s="35" t="s">
        <v>277</v>
      </c>
      <c r="B7" s="97" t="n">
        <f aca="false">'Balance Sheet Input'!B11</f>
        <v>1491444</v>
      </c>
      <c r="C7" s="97" t="n">
        <f aca="false">'Balance Sheet Input'!C11</f>
        <v>1593756</v>
      </c>
      <c r="D7" s="97" t="n">
        <f aca="false">'Balance Sheet Input'!D11</f>
        <v>2004350</v>
      </c>
      <c r="E7" s="137"/>
      <c r="F7" s="137"/>
      <c r="G7" s="137"/>
      <c r="H7" s="137"/>
      <c r="I7" s="17"/>
    </row>
    <row r="8" customFormat="false" ht="14.25" hidden="false" customHeight="true" outlineLevel="0" collapsed="false">
      <c r="A8" s="17"/>
      <c r="B8" s="17"/>
      <c r="C8" s="17"/>
      <c r="D8" s="17"/>
      <c r="E8" s="17"/>
      <c r="F8" s="17"/>
      <c r="G8" s="17"/>
      <c r="H8" s="17"/>
      <c r="I8" s="17"/>
    </row>
    <row r="9" customFormat="false" ht="14.25" hidden="false" customHeight="true" outlineLevel="0" collapsed="false">
      <c r="A9" s="173" t="s">
        <v>278</v>
      </c>
      <c r="B9" s="17"/>
      <c r="C9" s="97" t="n">
        <f aca="false">(C4+C5)/C6</f>
        <v>16.386864132691</v>
      </c>
      <c r="D9" s="97" t="n">
        <f aca="false">(D4+D5)/D6</f>
        <v>18.3221847722755</v>
      </c>
      <c r="E9" s="189"/>
      <c r="F9" s="190"/>
      <c r="G9" s="190"/>
      <c r="H9" s="190"/>
      <c r="I9" s="17"/>
    </row>
    <row r="10" customFormat="false" ht="14.25" hidden="false" customHeight="true" outlineLevel="0" collapsed="false">
      <c r="A10" s="17"/>
      <c r="B10" s="17"/>
      <c r="C10" s="17"/>
      <c r="D10" s="17"/>
      <c r="E10" s="17"/>
      <c r="F10" s="17"/>
      <c r="G10" s="17"/>
      <c r="H10" s="17"/>
      <c r="I10" s="17"/>
    </row>
    <row r="11" customFormat="false" ht="14.25" hidden="false" customHeight="true" outlineLevel="0" collapsed="false">
      <c r="A11" s="17"/>
      <c r="B11" s="17"/>
      <c r="C11" s="17"/>
      <c r="D11" s="17"/>
      <c r="E11" s="17"/>
      <c r="F11" s="17"/>
      <c r="G11" s="17"/>
      <c r="H11" s="17"/>
      <c r="I11" s="17"/>
    </row>
    <row r="12" customFormat="false" ht="14.25" hidden="false" customHeight="true" outlineLevel="0" collapsed="false">
      <c r="A12" s="35" t="s">
        <v>279</v>
      </c>
      <c r="B12" s="17"/>
      <c r="C12" s="17"/>
      <c r="D12" s="17"/>
      <c r="E12" s="17"/>
      <c r="F12" s="17"/>
      <c r="G12" s="17"/>
      <c r="H12" s="17"/>
      <c r="I12" s="17"/>
    </row>
    <row r="13" customFormat="false" ht="14.25" hidden="false" customHeight="true" outlineLevel="0" collapsed="false">
      <c r="A13" s="188" t="s">
        <v>248</v>
      </c>
      <c r="B13" s="104" t="n">
        <v>2023</v>
      </c>
      <c r="C13" s="104" t="n">
        <v>2024</v>
      </c>
      <c r="D13" s="104" t="n">
        <v>2025</v>
      </c>
      <c r="E13" s="19"/>
      <c r="F13" s="19"/>
      <c r="G13" s="19"/>
      <c r="H13" s="19"/>
      <c r="I13" s="17"/>
    </row>
    <row r="14" customFormat="false" ht="14.25" hidden="false" customHeight="true" outlineLevel="0" collapsed="false">
      <c r="A14" s="35" t="s">
        <v>274</v>
      </c>
      <c r="B14" s="17"/>
      <c r="C14" s="97" t="n">
        <f aca="false">B17</f>
        <v>31658056</v>
      </c>
      <c r="D14" s="97" t="n">
        <f aca="false">C17</f>
        <v>32452462</v>
      </c>
      <c r="E14" s="137"/>
      <c r="F14" s="137"/>
      <c r="G14" s="137"/>
      <c r="H14" s="137"/>
      <c r="I14" s="17"/>
    </row>
    <row r="15" customFormat="false" ht="14.25" hidden="false" customHeight="true" outlineLevel="0" collapsed="false">
      <c r="A15" s="35" t="s">
        <v>280</v>
      </c>
      <c r="B15" s="17"/>
      <c r="C15" s="97" t="n">
        <f aca="false">C17+C16-C14</f>
        <v>10010653</v>
      </c>
      <c r="D15" s="97" t="n">
        <f aca="false">D17+D16-D14</f>
        <v>11132842</v>
      </c>
      <c r="E15" s="137"/>
      <c r="F15" s="137"/>
      <c r="G15" s="137"/>
      <c r="H15" s="137"/>
      <c r="I15" s="17"/>
    </row>
    <row r="16" customFormat="false" ht="14.25" hidden="false" customHeight="true" outlineLevel="0" collapsed="false">
      <c r="A16" s="35" t="s">
        <v>281</v>
      </c>
      <c r="B16" s="17"/>
      <c r="C16" s="93" t="n">
        <v>9216247</v>
      </c>
      <c r="D16" s="93" t="n">
        <v>10806912</v>
      </c>
      <c r="E16" s="137"/>
      <c r="F16" s="137"/>
      <c r="G16" s="137"/>
      <c r="H16" s="137"/>
      <c r="I16" s="17"/>
    </row>
    <row r="17" customFormat="false" ht="14.25" hidden="false" customHeight="true" outlineLevel="0" collapsed="false">
      <c r="A17" s="35" t="s">
        <v>277</v>
      </c>
      <c r="B17" s="97" t="n">
        <f aca="false">'Balance Sheet Input'!B10</f>
        <v>31658056</v>
      </c>
      <c r="C17" s="97" t="n">
        <f aca="false">'Balance Sheet Input'!C10</f>
        <v>32452462</v>
      </c>
      <c r="D17" s="97" t="n">
        <f aca="false">'Balance Sheet Input'!D10</f>
        <v>32778392</v>
      </c>
      <c r="E17" s="137"/>
      <c r="F17" s="137"/>
      <c r="G17" s="137"/>
      <c r="H17" s="137"/>
      <c r="I17" s="17"/>
    </row>
    <row r="18" customFormat="false" ht="14.25" hidden="false" customHeight="true" outlineLevel="0" collapsed="false">
      <c r="A18" s="17"/>
      <c r="B18" s="17"/>
      <c r="C18" s="17"/>
      <c r="D18" s="17"/>
      <c r="E18" s="17"/>
      <c r="F18" s="17"/>
      <c r="G18" s="17"/>
      <c r="H18" s="17"/>
      <c r="I18" s="17"/>
    </row>
    <row r="19" customFormat="false" ht="14.25" hidden="false" customHeight="true" outlineLevel="0" collapsed="false">
      <c r="A19" s="173" t="s">
        <v>282</v>
      </c>
      <c r="B19" s="17"/>
      <c r="C19" s="191" t="n">
        <f aca="false">(C14+C15)/C16</f>
        <v>4.52122311826061</v>
      </c>
      <c r="D19" s="191" t="n">
        <f aca="false">(D14+D15)/D16</f>
        <v>4.03309511542243</v>
      </c>
      <c r="E19" s="189"/>
      <c r="F19" s="189"/>
      <c r="G19" s="189"/>
      <c r="H19" s="189"/>
      <c r="I19" s="17"/>
    </row>
    <row r="20" customFormat="false" ht="14.25" hidden="false" customHeight="true" outlineLevel="0" collapsed="false">
      <c r="A20" s="17"/>
      <c r="B20" s="17"/>
      <c r="C20" s="17"/>
      <c r="D20" s="17"/>
      <c r="E20" s="17"/>
      <c r="F20" s="17"/>
      <c r="G20" s="17"/>
      <c r="H20" s="17"/>
      <c r="I20" s="17"/>
    </row>
    <row r="21" customFormat="false" ht="14.25" hidden="false" customHeight="true" outlineLevel="0" collapsed="false">
      <c r="A21" s="17"/>
      <c r="B21" s="17"/>
      <c r="C21" s="17"/>
      <c r="D21" s="17"/>
      <c r="E21" s="17"/>
      <c r="F21" s="17"/>
      <c r="G21" s="17"/>
      <c r="H21" s="17"/>
      <c r="I21" s="17"/>
    </row>
    <row r="22" customFormat="false" ht="14.25" hidden="false" customHeight="true" outlineLevel="0" collapsed="false">
      <c r="A22" s="35" t="s">
        <v>283</v>
      </c>
      <c r="B22" s="17"/>
      <c r="C22" s="17"/>
      <c r="D22" s="17"/>
      <c r="E22" s="17"/>
      <c r="F22" s="17"/>
      <c r="G22" s="17"/>
      <c r="H22" s="17"/>
      <c r="I22" s="17"/>
    </row>
    <row r="23" customFormat="false" ht="14.25" hidden="false" customHeight="true" outlineLevel="0" collapsed="false">
      <c r="A23" s="35" t="s">
        <v>284</v>
      </c>
      <c r="B23" s="17"/>
      <c r="C23" s="97" t="n">
        <f aca="false">B25</f>
        <v>14143417</v>
      </c>
      <c r="D23" s="97" t="n">
        <f aca="false">C25</f>
        <v>13798351</v>
      </c>
      <c r="E23" s="137"/>
      <c r="F23" s="137"/>
      <c r="G23" s="137"/>
      <c r="H23" s="137"/>
      <c r="I23" s="17"/>
    </row>
    <row r="24" customFormat="false" ht="14.25" hidden="false" customHeight="true" outlineLevel="0" collapsed="false">
      <c r="A24" s="35" t="s">
        <v>285</v>
      </c>
      <c r="B24" s="17"/>
      <c r="C24" s="97" t="n">
        <f aca="false">C25-C23</f>
        <v>-345066</v>
      </c>
      <c r="D24" s="97" t="n">
        <f aca="false">D25-D23</f>
        <v>-334380</v>
      </c>
      <c r="E24" s="192"/>
      <c r="F24" s="192"/>
      <c r="G24" s="192"/>
      <c r="H24" s="192"/>
      <c r="I24" s="17"/>
    </row>
    <row r="25" customFormat="false" ht="14.25" hidden="false" customHeight="true" outlineLevel="0" collapsed="false">
      <c r="A25" s="35" t="s">
        <v>277</v>
      </c>
      <c r="B25" s="97" t="n">
        <f aca="false">'Balance Sheet Input'!B24</f>
        <v>14143417</v>
      </c>
      <c r="C25" s="97" t="n">
        <f aca="false">'Balance Sheet Input'!C24</f>
        <v>13798351</v>
      </c>
      <c r="D25" s="97" t="n">
        <f aca="false">'Balance Sheet Input'!D24</f>
        <v>13463971</v>
      </c>
      <c r="E25" s="156"/>
      <c r="F25" s="156"/>
      <c r="G25" s="156"/>
      <c r="H25" s="156"/>
      <c r="I25" s="17"/>
    </row>
    <row r="26" customFormat="false" ht="14.25" hidden="false" customHeight="true" outlineLevel="0" collapsed="false">
      <c r="A26" s="17"/>
      <c r="B26" s="17"/>
      <c r="C26" s="17"/>
      <c r="D26" s="17"/>
      <c r="E26" s="17"/>
      <c r="F26" s="17"/>
      <c r="G26" s="17"/>
      <c r="H26" s="17"/>
      <c r="I26" s="17"/>
    </row>
    <row r="27" customFormat="false" ht="14.25" hidden="false" customHeight="true" outlineLevel="0" collapsed="false">
      <c r="A27" s="35" t="s">
        <v>267</v>
      </c>
      <c r="B27" s="124" t="n">
        <f aca="false">'P&amp;L Input'!C11</f>
        <v>-699826</v>
      </c>
      <c r="C27" s="124" t="n">
        <f aca="false">'P&amp;L Input'!D11</f>
        <v>-718733</v>
      </c>
      <c r="D27" s="124" t="n">
        <f aca="false">'P&amp;L Input'!E11</f>
        <v>-776510</v>
      </c>
      <c r="E27" s="156"/>
      <c r="F27" s="156"/>
      <c r="G27" s="156"/>
      <c r="H27" s="156"/>
      <c r="I27" s="17"/>
    </row>
    <row r="28" customFormat="false" ht="14.25" hidden="false" customHeight="true" outlineLevel="0" collapsed="false">
      <c r="A28" s="17"/>
      <c r="B28" s="193" t="n">
        <f aca="false">B27/B25</f>
        <v>-0.0494806877291393</v>
      </c>
      <c r="C28" s="193" t="n">
        <f aca="false">C27/C25</f>
        <v>-0.0520883256267361</v>
      </c>
      <c r="D28" s="193" t="n">
        <f aca="false">D27/D25</f>
        <v>-0.0576731782919022</v>
      </c>
      <c r="E28" s="194"/>
      <c r="F28" s="194"/>
      <c r="G28" s="194"/>
      <c r="H28" s="194"/>
      <c r="I28" s="17"/>
    </row>
    <row r="29" customFormat="false" ht="14.25" hidden="false" customHeight="true" outlineLevel="0" collapsed="false">
      <c r="A29" s="17"/>
      <c r="B29" s="17"/>
      <c r="C29" s="17"/>
      <c r="D29" s="17"/>
      <c r="E29" s="17"/>
      <c r="F29" s="17"/>
      <c r="G29" s="17"/>
      <c r="H29" s="17"/>
      <c r="I29" s="17"/>
    </row>
    <row r="30" customFormat="false" ht="14.25" hidden="false" customHeight="true" outlineLevel="0" collapsed="false">
      <c r="A30" s="17"/>
      <c r="B30" s="17"/>
      <c r="C30" s="17"/>
      <c r="D30" s="17"/>
      <c r="E30" s="17"/>
      <c r="F30" s="17"/>
      <c r="G30" s="17"/>
      <c r="H30" s="17"/>
      <c r="I30" s="17"/>
    </row>
    <row r="31" customFormat="false" ht="14.25" hidden="false" customHeight="true" outlineLevel="0" collapsed="false">
      <c r="A31" s="195" t="s">
        <v>286</v>
      </c>
      <c r="B31" s="17"/>
      <c r="C31" s="17"/>
      <c r="D31" s="17"/>
      <c r="E31" s="17"/>
      <c r="F31" s="17"/>
      <c r="G31" s="17"/>
      <c r="H31" s="17"/>
      <c r="I31" s="17"/>
    </row>
    <row r="32" customFormat="false" ht="39" hidden="false" customHeight="true" outlineLevel="0" collapsed="false">
      <c r="A32" s="143" t="s">
        <v>287</v>
      </c>
      <c r="B32" s="143"/>
      <c r="C32" s="143"/>
      <c r="D32" s="143"/>
      <c r="E32" s="17"/>
      <c r="F32" s="17"/>
      <c r="G32" s="17"/>
      <c r="H32" s="17"/>
      <c r="I32" s="17"/>
    </row>
    <row r="33" customFormat="false" ht="14.25" hidden="false" customHeight="true" outlineLevel="0" collapsed="false">
      <c r="A33" s="17"/>
      <c r="B33" s="17"/>
      <c r="C33" s="17"/>
      <c r="D33" s="17"/>
      <c r="E33" s="17"/>
      <c r="F33" s="17"/>
      <c r="G33" s="17"/>
      <c r="H33" s="17"/>
      <c r="I33" s="17"/>
    </row>
    <row r="34" customFormat="false" ht="14.25" hidden="false" customHeight="true" outlineLevel="0" collapsed="false">
      <c r="A34" s="46" t="s">
        <v>288</v>
      </c>
      <c r="B34" s="17"/>
      <c r="C34" s="135" t="n">
        <v>12422309</v>
      </c>
      <c r="D34" s="135" t="n">
        <v>12138578</v>
      </c>
      <c r="E34" s="196"/>
      <c r="F34" s="17"/>
      <c r="G34" s="17"/>
      <c r="H34" s="17"/>
      <c r="I34" s="17"/>
    </row>
    <row r="35" customFormat="false" ht="14.25" hidden="false" customHeight="true" outlineLevel="0" collapsed="false">
      <c r="A35" s="17"/>
      <c r="B35" s="17"/>
      <c r="C35" s="139"/>
      <c r="D35" s="139"/>
      <c r="E35" s="139"/>
      <c r="F35" s="17"/>
      <c r="G35" s="17"/>
      <c r="H35" s="17"/>
      <c r="I35" s="17"/>
    </row>
    <row r="36" customFormat="false" ht="14.25" hidden="false" customHeight="true" outlineLevel="0" collapsed="false">
      <c r="A36" s="46" t="s">
        <v>289</v>
      </c>
      <c r="B36" s="17"/>
      <c r="C36" s="139"/>
      <c r="D36" s="139"/>
      <c r="E36" s="139"/>
      <c r="F36" s="17"/>
      <c r="G36" s="17"/>
      <c r="H36" s="17"/>
      <c r="I36" s="17"/>
    </row>
    <row r="37" customFormat="false" ht="14.25" hidden="false" customHeight="true" outlineLevel="0" collapsed="false">
      <c r="A37" s="35" t="s">
        <v>290</v>
      </c>
      <c r="B37" s="17"/>
      <c r="C37" s="93" t="n">
        <v>10151543</v>
      </c>
      <c r="D37" s="93" t="n">
        <v>10687444</v>
      </c>
      <c r="E37" s="139"/>
      <c r="F37" s="17"/>
      <c r="G37" s="17"/>
      <c r="H37" s="17"/>
      <c r="I37" s="17"/>
    </row>
    <row r="38" customFormat="false" ht="14.25" hidden="false" customHeight="true" outlineLevel="0" collapsed="false">
      <c r="A38" s="35" t="s">
        <v>291</v>
      </c>
      <c r="B38" s="17"/>
      <c r="C38" s="93" t="n">
        <v>9317367</v>
      </c>
      <c r="D38" s="93" t="n">
        <v>9210735</v>
      </c>
      <c r="E38" s="139"/>
      <c r="F38" s="17"/>
      <c r="G38" s="17"/>
      <c r="H38" s="17"/>
      <c r="I38" s="17"/>
    </row>
    <row r="39" customFormat="false" ht="14.25" hidden="false" customHeight="true" outlineLevel="0" collapsed="false">
      <c r="A39" s="35" t="s">
        <v>292</v>
      </c>
      <c r="B39" s="17"/>
      <c r="C39" s="93" t="n">
        <v>561243</v>
      </c>
      <c r="D39" s="93" t="n">
        <v>741635</v>
      </c>
      <c r="E39" s="139"/>
      <c r="F39" s="17"/>
      <c r="G39" s="17"/>
      <c r="H39" s="17"/>
      <c r="I39" s="17"/>
    </row>
    <row r="40" customFormat="false" ht="14.25" hidden="false" customHeight="true" outlineLevel="0" collapsed="false">
      <c r="A40" s="17"/>
      <c r="B40" s="17"/>
      <c r="C40" s="197" t="n">
        <f aca="false">SUM(C37:C39)</f>
        <v>20030153</v>
      </c>
      <c r="D40" s="197" t="n">
        <f aca="false">SUM(D37:D39)</f>
        <v>20639814</v>
      </c>
      <c r="E40" s="196"/>
      <c r="F40" s="17"/>
      <c r="G40" s="17"/>
      <c r="H40" s="17"/>
      <c r="I40" s="17"/>
    </row>
    <row r="41" customFormat="false" ht="14.25" hidden="false" customHeight="true" outlineLevel="0" collapsed="false">
      <c r="A41" s="17"/>
      <c r="B41" s="17"/>
      <c r="C41" s="17"/>
      <c r="D41" s="17"/>
      <c r="E41" s="17"/>
      <c r="F41" s="17"/>
      <c r="G41" s="17"/>
      <c r="H41" s="17"/>
      <c r="I41" s="17"/>
    </row>
    <row r="42" customFormat="false" ht="14.25" hidden="false" customHeight="true" outlineLevel="0" collapsed="false">
      <c r="A42" s="35" t="s">
        <v>293</v>
      </c>
      <c r="B42" s="17"/>
      <c r="C42" s="197" t="n">
        <f aca="false">C34+C40</f>
        <v>32452462</v>
      </c>
      <c r="D42" s="197" t="n">
        <f aca="false">D34+D40</f>
        <v>32778392</v>
      </c>
      <c r="E42" s="35"/>
      <c r="F42" s="17"/>
      <c r="G42" s="17"/>
      <c r="H42" s="17"/>
      <c r="I42" s="17"/>
    </row>
    <row r="43" customFormat="false" ht="14.25" hidden="false" customHeight="true" outlineLevel="0" collapsed="false">
      <c r="A43" s="17"/>
      <c r="B43" s="17"/>
      <c r="C43" s="17"/>
      <c r="D43" s="17"/>
      <c r="E43" s="17"/>
      <c r="F43" s="17"/>
      <c r="G43" s="17"/>
      <c r="H43" s="17"/>
      <c r="I43" s="17"/>
    </row>
    <row r="44" customFormat="false" ht="14.25" hidden="false" customHeight="true" outlineLevel="0" collapsed="false">
      <c r="A44" s="198" t="s">
        <v>294</v>
      </c>
      <c r="B44" s="104" t="n">
        <v>2023</v>
      </c>
      <c r="C44" s="104" t="n">
        <v>2024</v>
      </c>
      <c r="D44" s="104" t="n">
        <v>2025</v>
      </c>
      <c r="E44" s="17"/>
      <c r="F44" s="17"/>
      <c r="G44" s="17"/>
      <c r="H44" s="17"/>
      <c r="I44" s="17"/>
    </row>
    <row r="45" customFormat="false" ht="14.25" hidden="false" customHeight="true" outlineLevel="0" collapsed="false">
      <c r="A45" s="35" t="s">
        <v>295</v>
      </c>
      <c r="B45" s="93" t="n">
        <v>7145446</v>
      </c>
      <c r="C45" s="93" t="n">
        <v>7689014</v>
      </c>
      <c r="D45" s="93" t="n">
        <v>8713558</v>
      </c>
      <c r="E45" s="139"/>
      <c r="F45" s="17"/>
      <c r="G45" s="17"/>
      <c r="H45" s="17"/>
      <c r="I45" s="17"/>
    </row>
    <row r="46" customFormat="false" ht="14.25" hidden="false" customHeight="true" outlineLevel="0" collapsed="false">
      <c r="A46" s="35" t="s">
        <v>296</v>
      </c>
      <c r="B46" s="93" t="n">
        <v>7051991</v>
      </c>
      <c r="C46" s="93" t="n">
        <v>7612503</v>
      </c>
      <c r="D46" s="93" t="n">
        <v>7708608</v>
      </c>
      <c r="E46" s="139"/>
      <c r="F46" s="17"/>
      <c r="G46" s="17"/>
      <c r="H46" s="17"/>
      <c r="I46" s="17"/>
    </row>
    <row r="47" customFormat="false" ht="14.25" hidden="false" customHeight="true" outlineLevel="0" collapsed="false">
      <c r="A47" s="17"/>
      <c r="B47" s="199" t="n">
        <f aca="false">SUM(B45:B46)</f>
        <v>14197437</v>
      </c>
      <c r="C47" s="199" t="n">
        <f aca="false">SUM(C45:C46)</f>
        <v>15301517</v>
      </c>
      <c r="D47" s="199" t="n">
        <f aca="false">SUM(D45:D46)</f>
        <v>16422166</v>
      </c>
      <c r="E47" s="17"/>
      <c r="F47" s="17"/>
      <c r="G47" s="17"/>
      <c r="H47" s="17"/>
      <c r="I47" s="17"/>
    </row>
    <row r="48" customFormat="false" ht="14.25" hidden="false" customHeight="true" outlineLevel="0" collapsed="false">
      <c r="A48" s="17"/>
      <c r="B48" s="17"/>
      <c r="C48" s="17"/>
      <c r="D48" s="17"/>
      <c r="E48" s="17"/>
      <c r="F48" s="17"/>
      <c r="G48" s="17"/>
      <c r="H48" s="17"/>
      <c r="I48" s="17"/>
    </row>
    <row r="49" customFormat="false" ht="14.25" hidden="false" customHeight="true" outlineLevel="0" collapsed="false">
      <c r="A49" s="17"/>
      <c r="B49" s="17"/>
      <c r="C49" s="17"/>
      <c r="D49" s="17"/>
      <c r="E49" s="17"/>
      <c r="F49" s="17"/>
      <c r="G49" s="17"/>
      <c r="H49" s="17"/>
      <c r="I49" s="17"/>
    </row>
    <row r="50" customFormat="false" ht="14.25" hidden="false" customHeight="true" outlineLevel="0" collapsed="false">
      <c r="A50" s="17"/>
      <c r="B50" s="17"/>
      <c r="C50" s="17"/>
      <c r="D50" s="17"/>
      <c r="E50" s="17"/>
      <c r="F50" s="17"/>
      <c r="G50" s="17"/>
      <c r="H50" s="17"/>
      <c r="I50" s="17"/>
    </row>
    <row r="51" customFormat="false" ht="14.25" hidden="false" customHeight="true" outlineLevel="0" collapsed="false">
      <c r="A51" s="17"/>
      <c r="B51" s="17"/>
      <c r="C51" s="17"/>
      <c r="D51" s="17"/>
      <c r="E51" s="17"/>
      <c r="F51" s="17"/>
      <c r="G51" s="17"/>
      <c r="H51" s="17"/>
      <c r="I51" s="17"/>
    </row>
    <row r="52" customFormat="false" ht="14.25" hidden="false" customHeight="true" outlineLevel="0" collapsed="false">
      <c r="A52" s="35" t="s">
        <v>279</v>
      </c>
      <c r="B52" s="17"/>
      <c r="C52" s="17"/>
      <c r="D52" s="17"/>
      <c r="E52" s="17"/>
      <c r="F52" s="17"/>
      <c r="G52" s="17"/>
      <c r="H52" s="17"/>
      <c r="I52" s="17"/>
    </row>
    <row r="53" customFormat="false" ht="14.25" hidden="false" customHeight="true" outlineLevel="0" collapsed="false">
      <c r="A53" s="188" t="s">
        <v>248</v>
      </c>
      <c r="B53" s="104" t="n">
        <v>2023</v>
      </c>
      <c r="C53" s="104" t="n">
        <v>2024</v>
      </c>
      <c r="D53" s="104" t="n">
        <v>2025</v>
      </c>
      <c r="E53" s="17"/>
      <c r="F53" s="17"/>
      <c r="G53" s="17"/>
      <c r="H53" s="17"/>
      <c r="I53" s="17"/>
    </row>
    <row r="54" customFormat="false" ht="14.25" hidden="false" customHeight="true" outlineLevel="0" collapsed="false">
      <c r="A54" s="35" t="s">
        <v>274</v>
      </c>
      <c r="B54" s="199" t="n">
        <f aca="false">B56+B57</f>
        <v>45855493</v>
      </c>
      <c r="C54" s="199" t="n">
        <f aca="false">B57</f>
        <v>31658056</v>
      </c>
      <c r="D54" s="199" t="n">
        <f aca="false">C57</f>
        <v>32452462</v>
      </c>
      <c r="E54" s="17"/>
      <c r="F54" s="17"/>
      <c r="G54" s="17"/>
      <c r="H54" s="17"/>
      <c r="I54" s="17"/>
    </row>
    <row r="55" customFormat="false" ht="14.25" hidden="false" customHeight="true" outlineLevel="0" collapsed="false">
      <c r="A55" s="35" t="s">
        <v>280</v>
      </c>
      <c r="B55" s="199" t="n">
        <f aca="false">B57-B54+B56</f>
        <v>0</v>
      </c>
      <c r="C55" s="199" t="n">
        <f aca="false">C57-C54+C56</f>
        <v>16095923</v>
      </c>
      <c r="D55" s="199" t="n">
        <f aca="false">D57-D54+D56</f>
        <v>16748096</v>
      </c>
      <c r="E55" s="139"/>
      <c r="F55" s="17"/>
      <c r="G55" s="17"/>
      <c r="H55" s="17"/>
      <c r="I55" s="17"/>
    </row>
    <row r="56" customFormat="false" ht="14.25" hidden="false" customHeight="true" outlineLevel="0" collapsed="false">
      <c r="A56" s="35" t="s">
        <v>281</v>
      </c>
      <c r="B56" s="199" t="n">
        <f aca="false">B47</f>
        <v>14197437</v>
      </c>
      <c r="C56" s="199" t="n">
        <f aca="false">C47</f>
        <v>15301517</v>
      </c>
      <c r="D56" s="199" t="n">
        <f aca="false">D47</f>
        <v>16422166</v>
      </c>
      <c r="E56" s="17"/>
      <c r="F56" s="17"/>
      <c r="G56" s="17"/>
      <c r="H56" s="17"/>
      <c r="I56" s="17"/>
    </row>
    <row r="57" customFormat="false" ht="14.25" hidden="false" customHeight="true" outlineLevel="0" collapsed="false">
      <c r="A57" s="35" t="s">
        <v>277</v>
      </c>
      <c r="B57" s="93" t="n">
        <v>31658056</v>
      </c>
      <c r="C57" s="199" t="n">
        <f aca="false">C42</f>
        <v>32452462</v>
      </c>
      <c r="D57" s="199" t="n">
        <f aca="false">D42</f>
        <v>32778392</v>
      </c>
      <c r="E57" s="17"/>
      <c r="F57" s="17"/>
      <c r="G57" s="17"/>
      <c r="H57" s="17"/>
      <c r="I57" s="17"/>
    </row>
    <row r="58" customFormat="false" ht="14.25" hidden="false" customHeight="true" outlineLevel="0" collapsed="false">
      <c r="A58" s="17"/>
      <c r="B58" s="17"/>
      <c r="C58" s="17"/>
      <c r="D58" s="17"/>
      <c r="E58" s="17"/>
      <c r="F58" s="17"/>
      <c r="G58" s="17"/>
      <c r="H58" s="17"/>
      <c r="I58" s="17"/>
    </row>
    <row r="59" customFormat="false" ht="14.25" hidden="false" customHeight="true" outlineLevel="0" collapsed="false">
      <c r="A59" s="173" t="s">
        <v>282</v>
      </c>
      <c r="B59" s="17"/>
      <c r="C59" s="17"/>
      <c r="D59" s="199" t="s">
        <v>297</v>
      </c>
      <c r="E59" s="17"/>
      <c r="F59" s="17"/>
      <c r="G59" s="17"/>
      <c r="H59" s="17"/>
      <c r="I59" s="17"/>
    </row>
    <row r="60" customFormat="false" ht="14.25" hidden="false" customHeight="true" outlineLevel="0" collapsed="false">
      <c r="A60" s="17"/>
      <c r="B60" s="17"/>
      <c r="C60" s="17"/>
      <c r="D60" s="17"/>
      <c r="E60" s="17"/>
      <c r="F60" s="17"/>
      <c r="G60" s="17"/>
      <c r="H60" s="17"/>
      <c r="I60" s="17"/>
    </row>
    <row r="61" customFormat="false" ht="14.25" hidden="false" customHeight="true" outlineLevel="0" collapsed="false">
      <c r="A61" s="17"/>
      <c r="B61" s="17"/>
      <c r="C61" s="17"/>
      <c r="D61" s="17"/>
      <c r="E61" s="17"/>
      <c r="F61" s="17"/>
      <c r="G61" s="17"/>
      <c r="H61" s="17"/>
      <c r="I61" s="17"/>
    </row>
    <row r="62" customFormat="false" ht="14.25" hidden="false" customHeight="true" outlineLevel="0" collapsed="false">
      <c r="A62" s="46" t="s">
        <v>288</v>
      </c>
      <c r="B62" s="139"/>
      <c r="C62" s="139"/>
      <c r="D62" s="139"/>
      <c r="E62" s="17"/>
      <c r="F62" s="17"/>
      <c r="G62" s="17"/>
      <c r="H62" s="17"/>
      <c r="I62" s="17"/>
    </row>
    <row r="63" customFormat="false" ht="14.25" hidden="false" customHeight="true" outlineLevel="0" collapsed="false">
      <c r="A63" s="35" t="s">
        <v>274</v>
      </c>
      <c r="B63" s="93" t="n">
        <v>12732549</v>
      </c>
      <c r="C63" s="199" t="n">
        <f aca="false">B66</f>
        <v>12722701</v>
      </c>
      <c r="D63" s="199" t="n">
        <f aca="false">C66</f>
        <v>12422309</v>
      </c>
      <c r="E63" s="17"/>
      <c r="F63" s="17"/>
      <c r="G63" s="17"/>
      <c r="H63" s="17"/>
      <c r="I63" s="17"/>
    </row>
    <row r="64" customFormat="false" ht="14.25" hidden="false" customHeight="true" outlineLevel="0" collapsed="false">
      <c r="A64" s="35" t="s">
        <v>298</v>
      </c>
      <c r="B64" s="199" t="n">
        <f aca="false">B66-B63+B65</f>
        <v>7135598</v>
      </c>
      <c r="C64" s="199" t="n">
        <f aca="false">C66-C63+C65</f>
        <v>7388622</v>
      </c>
      <c r="D64" s="199" t="n">
        <f aca="false">D66-D63+D65</f>
        <v>8429827</v>
      </c>
      <c r="E64" s="17"/>
      <c r="F64" s="17"/>
      <c r="G64" s="17"/>
      <c r="H64" s="17"/>
      <c r="I64" s="17"/>
    </row>
    <row r="65" customFormat="false" ht="14.25" hidden="false" customHeight="true" outlineLevel="0" collapsed="false">
      <c r="A65" s="35" t="s">
        <v>294</v>
      </c>
      <c r="B65" s="93" t="n">
        <v>7145446</v>
      </c>
      <c r="C65" s="199" t="n">
        <f aca="false">C87</f>
        <v>7689014</v>
      </c>
      <c r="D65" s="199" t="n">
        <f aca="false">D87</f>
        <v>8713558</v>
      </c>
      <c r="E65" s="17"/>
      <c r="F65" s="17"/>
      <c r="G65" s="17"/>
      <c r="H65" s="17"/>
      <c r="I65" s="17"/>
    </row>
    <row r="66" customFormat="false" ht="14.25" hidden="false" customHeight="true" outlineLevel="0" collapsed="false">
      <c r="A66" s="35" t="s">
        <v>277</v>
      </c>
      <c r="B66" s="93" t="n">
        <v>12722701</v>
      </c>
      <c r="C66" s="93" t="n">
        <v>12422309</v>
      </c>
      <c r="D66" s="93" t="n">
        <v>12138578</v>
      </c>
      <c r="E66" s="17"/>
      <c r="F66" s="17"/>
      <c r="G66" s="17"/>
      <c r="H66" s="17"/>
      <c r="I66" s="17"/>
    </row>
    <row r="67" customFormat="false" ht="14.25" hidden="false" customHeight="true" outlineLevel="0" collapsed="false">
      <c r="A67" s="19"/>
      <c r="B67" s="17"/>
      <c r="C67" s="139"/>
      <c r="D67" s="139"/>
      <c r="E67" s="17"/>
      <c r="F67" s="17"/>
      <c r="G67" s="17"/>
      <c r="H67" s="17"/>
      <c r="I67" s="17"/>
    </row>
    <row r="68" customFormat="false" ht="14.25" hidden="false" customHeight="true" outlineLevel="0" collapsed="false">
      <c r="A68" s="46" t="s">
        <v>289</v>
      </c>
      <c r="B68" s="17"/>
      <c r="C68" s="139"/>
      <c r="D68" s="139"/>
      <c r="E68" s="17"/>
      <c r="F68" s="17"/>
      <c r="G68" s="17"/>
      <c r="H68" s="17"/>
      <c r="I68" s="17"/>
    </row>
    <row r="69" customFormat="false" ht="14.25" hidden="false" customHeight="true" outlineLevel="0" collapsed="false">
      <c r="A69" s="35" t="s">
        <v>299</v>
      </c>
      <c r="B69" s="199" t="n">
        <f aca="false">9483150+B88</f>
        <v>16535141</v>
      </c>
      <c r="C69" s="199" t="n">
        <f aca="false">10151543+C88</f>
        <v>17764046</v>
      </c>
      <c r="D69" s="199" t="n">
        <f aca="false">10687444+D88</f>
        <v>18396052</v>
      </c>
      <c r="E69" s="17"/>
      <c r="F69" s="17"/>
      <c r="G69" s="17"/>
      <c r="H69" s="17"/>
      <c r="I69" s="17"/>
    </row>
    <row r="70" customFormat="false" ht="14.25" hidden="false" customHeight="true" outlineLevel="0" collapsed="false">
      <c r="A70" s="35" t="s">
        <v>291</v>
      </c>
      <c r="B70" s="93" t="n">
        <v>8247578</v>
      </c>
      <c r="C70" s="93" t="n">
        <v>9317367</v>
      </c>
      <c r="D70" s="93" t="n">
        <v>9210735</v>
      </c>
      <c r="E70" s="17"/>
      <c r="F70" s="17"/>
      <c r="G70" s="17"/>
      <c r="H70" s="17"/>
      <c r="I70" s="17"/>
    </row>
    <row r="71" customFormat="false" ht="14.25" hidden="false" customHeight="true" outlineLevel="0" collapsed="false">
      <c r="A71" s="35" t="s">
        <v>292</v>
      </c>
      <c r="B71" s="93" t="n">
        <v>844627</v>
      </c>
      <c r="C71" s="93" t="n">
        <v>561243</v>
      </c>
      <c r="D71" s="93" t="n">
        <v>741635</v>
      </c>
      <c r="E71" s="17"/>
      <c r="F71" s="17"/>
      <c r="G71" s="17"/>
      <c r="H71" s="17"/>
      <c r="I71" s="17"/>
    </row>
    <row r="72" customFormat="false" ht="14.25" hidden="false" customHeight="true" outlineLevel="0" collapsed="false">
      <c r="A72" s="17"/>
      <c r="B72" s="197" t="n">
        <f aca="false">SUM(B69:B71)</f>
        <v>25627346</v>
      </c>
      <c r="C72" s="197" t="n">
        <f aca="false">SUM(C69:C71)</f>
        <v>27642656</v>
      </c>
      <c r="D72" s="197" t="n">
        <f aca="false">SUM(D69:D71)</f>
        <v>28348422</v>
      </c>
      <c r="E72" s="17"/>
      <c r="F72" s="17"/>
      <c r="G72" s="17"/>
      <c r="H72" s="17"/>
      <c r="I72" s="17"/>
    </row>
    <row r="73" customFormat="false" ht="14.25" hidden="false" customHeight="true" outlineLevel="0" collapsed="false">
      <c r="A73" s="35" t="s">
        <v>300</v>
      </c>
      <c r="B73" s="199" t="n">
        <f aca="false">B88</f>
        <v>7051991</v>
      </c>
      <c r="C73" s="199" t="n">
        <f aca="false">C88</f>
        <v>7612503</v>
      </c>
      <c r="D73" s="199" t="n">
        <f aca="false">D88</f>
        <v>7708608</v>
      </c>
      <c r="E73" s="17"/>
      <c r="F73" s="17"/>
      <c r="G73" s="17"/>
      <c r="H73" s="17"/>
      <c r="I73" s="17"/>
    </row>
    <row r="74" customFormat="false" ht="14.25" hidden="false" customHeight="true" outlineLevel="0" collapsed="false">
      <c r="A74" s="35" t="s">
        <v>277</v>
      </c>
      <c r="B74" s="197" t="n">
        <f aca="false">B72-B73</f>
        <v>18575355</v>
      </c>
      <c r="C74" s="197" t="n">
        <f aca="false">C72-C73</f>
        <v>20030153</v>
      </c>
      <c r="D74" s="197" t="n">
        <f aca="false">D72-D73</f>
        <v>20639814</v>
      </c>
      <c r="E74" s="17"/>
      <c r="F74" s="17"/>
      <c r="G74" s="17"/>
      <c r="H74" s="17"/>
      <c r="I74" s="17"/>
    </row>
    <row r="75" customFormat="false" ht="14.25" hidden="false" customHeight="true" outlineLevel="0" collapsed="false">
      <c r="A75" s="17"/>
      <c r="B75" s="17"/>
      <c r="C75" s="196"/>
      <c r="D75" s="196"/>
      <c r="E75" s="17"/>
      <c r="F75" s="17"/>
      <c r="G75" s="17"/>
      <c r="H75" s="17"/>
      <c r="I75" s="17"/>
    </row>
    <row r="76" customFormat="false" ht="14.25" hidden="false" customHeight="true" outlineLevel="0" collapsed="false">
      <c r="A76" s="17"/>
      <c r="B76" s="17"/>
      <c r="C76" s="17"/>
      <c r="D76" s="17"/>
      <c r="E76" s="17"/>
      <c r="F76" s="17"/>
      <c r="G76" s="17"/>
      <c r="H76" s="17"/>
      <c r="I76" s="17"/>
    </row>
    <row r="77" customFormat="false" ht="14.25" hidden="false" customHeight="true" outlineLevel="0" collapsed="false">
      <c r="A77" s="17"/>
      <c r="B77" s="17"/>
      <c r="C77" s="196"/>
      <c r="D77" s="196"/>
      <c r="E77" s="17"/>
      <c r="F77" s="17"/>
      <c r="G77" s="17"/>
      <c r="H77" s="17"/>
      <c r="I77" s="17"/>
    </row>
    <row r="78" customFormat="false" ht="14.25" hidden="false" customHeight="true" outlineLevel="0" collapsed="false">
      <c r="A78" s="35" t="s">
        <v>279</v>
      </c>
      <c r="B78" s="17"/>
      <c r="C78" s="196"/>
      <c r="D78" s="196"/>
      <c r="E78" s="17"/>
      <c r="F78" s="17"/>
      <c r="G78" s="17"/>
      <c r="H78" s="17"/>
      <c r="I78" s="17"/>
    </row>
    <row r="79" customFormat="false" ht="14.25" hidden="false" customHeight="true" outlineLevel="0" collapsed="false">
      <c r="A79" s="35" t="s">
        <v>301</v>
      </c>
      <c r="B79" s="199" t="n">
        <f aca="false">B63+B72</f>
        <v>38359895</v>
      </c>
      <c r="C79" s="199" t="n">
        <f aca="false">C63+C72</f>
        <v>40365357</v>
      </c>
      <c r="D79" s="199" t="n">
        <f aca="false">D63+D72</f>
        <v>40770731</v>
      </c>
      <c r="E79" s="17"/>
      <c r="F79" s="17"/>
      <c r="G79" s="17"/>
      <c r="H79" s="17"/>
      <c r="I79" s="17"/>
    </row>
    <row r="80" customFormat="false" ht="14.25" hidden="false" customHeight="true" outlineLevel="0" collapsed="false">
      <c r="A80" s="35" t="s">
        <v>298</v>
      </c>
      <c r="B80" s="199" t="n">
        <f aca="false">B64</f>
        <v>7135598</v>
      </c>
      <c r="C80" s="199" t="n">
        <f aca="false">C64</f>
        <v>7388622</v>
      </c>
      <c r="D80" s="199" t="n">
        <f aca="false">D64</f>
        <v>8429827</v>
      </c>
      <c r="E80" s="17"/>
      <c r="F80" s="17"/>
      <c r="G80" s="17"/>
      <c r="H80" s="17"/>
      <c r="I80" s="17"/>
    </row>
    <row r="81" customFormat="false" ht="14.25" hidden="false" customHeight="true" outlineLevel="0" collapsed="false">
      <c r="A81" s="35" t="s">
        <v>294</v>
      </c>
      <c r="B81" s="199" t="n">
        <f aca="false">B65+B73</f>
        <v>14197437</v>
      </c>
      <c r="C81" s="199" t="n">
        <f aca="false">C65+C73</f>
        <v>15301517</v>
      </c>
      <c r="D81" s="199" t="n">
        <f aca="false">D65+D73</f>
        <v>16422166</v>
      </c>
      <c r="E81" s="17"/>
      <c r="F81" s="17"/>
      <c r="G81" s="17"/>
      <c r="H81" s="17"/>
      <c r="I81" s="17"/>
    </row>
    <row r="82" customFormat="false" ht="14.25" hidden="false" customHeight="true" outlineLevel="0" collapsed="false">
      <c r="A82" s="35" t="s">
        <v>277</v>
      </c>
      <c r="B82" s="199" t="n">
        <f aca="false">B66+B74</f>
        <v>31298056</v>
      </c>
      <c r="C82" s="199" t="n">
        <f aca="false">C66+C74</f>
        <v>32452462</v>
      </c>
      <c r="D82" s="199" t="n">
        <f aca="false">D66+D74</f>
        <v>32778392</v>
      </c>
      <c r="E82" s="17"/>
      <c r="F82" s="17"/>
      <c r="G82" s="17"/>
      <c r="H82" s="17"/>
      <c r="I82" s="17"/>
    </row>
    <row r="83" customFormat="false" ht="14.25" hidden="false" customHeight="true" outlineLevel="0" collapsed="false">
      <c r="A83" s="17"/>
      <c r="B83" s="17"/>
      <c r="C83" s="196"/>
      <c r="D83" s="196"/>
      <c r="E83" s="17"/>
      <c r="F83" s="17"/>
      <c r="G83" s="17"/>
      <c r="H83" s="17"/>
      <c r="I83" s="17"/>
    </row>
    <row r="84" customFormat="false" ht="14.25" hidden="false" customHeight="true" outlineLevel="0" collapsed="false">
      <c r="A84" s="17"/>
      <c r="B84" s="17"/>
      <c r="C84" s="196"/>
      <c r="D84" s="196"/>
      <c r="E84" s="17"/>
      <c r="F84" s="17"/>
      <c r="G84" s="17"/>
      <c r="H84" s="17"/>
      <c r="I84" s="17"/>
    </row>
    <row r="85" customFormat="false" ht="14.25" hidden="false" customHeight="true" outlineLevel="0" collapsed="false">
      <c r="A85" s="17"/>
      <c r="B85" s="17"/>
      <c r="C85" s="17"/>
      <c r="D85" s="17"/>
      <c r="E85" s="17"/>
      <c r="F85" s="17"/>
      <c r="G85" s="17"/>
      <c r="H85" s="17"/>
      <c r="I85" s="17"/>
    </row>
    <row r="86" customFormat="false" ht="14.25" hidden="false" customHeight="true" outlineLevel="0" collapsed="false">
      <c r="A86" s="198" t="s">
        <v>294</v>
      </c>
      <c r="B86" s="104" t="n">
        <v>2023</v>
      </c>
      <c r="C86" s="104" t="n">
        <v>2024</v>
      </c>
      <c r="D86" s="104" t="n">
        <v>2025</v>
      </c>
      <c r="E86" s="17"/>
      <c r="F86" s="17"/>
      <c r="G86" s="17"/>
      <c r="H86" s="17"/>
      <c r="I86" s="17"/>
    </row>
    <row r="87" customFormat="false" ht="14.25" hidden="false" customHeight="true" outlineLevel="0" collapsed="false">
      <c r="A87" s="35" t="s">
        <v>295</v>
      </c>
      <c r="B87" s="93" t="n">
        <v>7145446</v>
      </c>
      <c r="C87" s="93" t="n">
        <v>7689014</v>
      </c>
      <c r="D87" s="93" t="n">
        <v>8713558</v>
      </c>
      <c r="E87" s="17"/>
      <c r="F87" s="17"/>
      <c r="G87" s="17"/>
      <c r="H87" s="17"/>
      <c r="I87" s="17"/>
    </row>
    <row r="88" customFormat="false" ht="14.25" hidden="false" customHeight="true" outlineLevel="0" collapsed="false">
      <c r="A88" s="35" t="s">
        <v>296</v>
      </c>
      <c r="B88" s="93" t="n">
        <v>7051991</v>
      </c>
      <c r="C88" s="93" t="n">
        <v>7612503</v>
      </c>
      <c r="D88" s="93" t="n">
        <v>7708608</v>
      </c>
      <c r="E88" s="17"/>
      <c r="F88" s="17"/>
      <c r="G88" s="17"/>
      <c r="H88" s="17"/>
      <c r="I88" s="17"/>
    </row>
    <row r="89" customFormat="false" ht="14.25" hidden="false" customHeight="true" outlineLevel="0" collapsed="false">
      <c r="A89" s="17"/>
      <c r="B89" s="199" t="n">
        <f aca="false">SUM(B87:B88)</f>
        <v>14197437</v>
      </c>
      <c r="C89" s="199" t="n">
        <f aca="false">SUM(C87:C88)</f>
        <v>15301517</v>
      </c>
      <c r="D89" s="199" t="n">
        <f aca="false">SUM(D87:D88)</f>
        <v>16422166</v>
      </c>
      <c r="E89" s="17"/>
      <c r="F89" s="17"/>
      <c r="G89" s="17"/>
      <c r="H89" s="17"/>
      <c r="I89" s="17"/>
    </row>
    <row r="90" customFormat="false" ht="14.25" hidden="false" customHeight="true" outlineLevel="0" collapsed="false">
      <c r="A90" s="17"/>
      <c r="B90" s="17"/>
      <c r="C90" s="17"/>
      <c r="D90" s="17"/>
      <c r="E90" s="17"/>
      <c r="F90" s="17"/>
      <c r="G90" s="17"/>
      <c r="H90" s="17"/>
      <c r="I90" s="17"/>
    </row>
    <row r="91" customFormat="false" ht="14.25" hidden="false" customHeight="true" outlineLevel="0" collapsed="false">
      <c r="A91" s="17"/>
      <c r="B91" s="17"/>
      <c r="C91" s="17"/>
      <c r="D91" s="17"/>
      <c r="E91" s="17"/>
      <c r="F91" s="17"/>
      <c r="G91" s="17"/>
      <c r="H91" s="17"/>
      <c r="I91" s="17"/>
    </row>
    <row r="92" customFormat="false" ht="14.25" hidden="false" customHeight="true" outlineLevel="0" collapsed="false">
      <c r="A92" s="17"/>
      <c r="B92" s="17"/>
      <c r="C92" s="17"/>
      <c r="D92" s="17"/>
      <c r="E92" s="17"/>
      <c r="F92" s="17"/>
      <c r="G92" s="17"/>
      <c r="H92" s="17"/>
      <c r="I92" s="17"/>
    </row>
    <row r="93" customFormat="false" ht="14.25" hidden="false" customHeight="true" outlineLevel="0" collapsed="false">
      <c r="A93" s="46" t="s">
        <v>302</v>
      </c>
      <c r="B93" s="17"/>
      <c r="C93" s="17"/>
      <c r="D93" s="17"/>
      <c r="E93" s="17"/>
      <c r="F93" s="17"/>
      <c r="G93" s="17"/>
      <c r="H93" s="17"/>
      <c r="I93" s="17"/>
    </row>
    <row r="94" customFormat="false" ht="14.25" hidden="false" customHeight="true" outlineLevel="0" collapsed="false">
      <c r="A94" s="19"/>
      <c r="B94" s="17"/>
      <c r="C94" s="17"/>
      <c r="D94" s="17"/>
      <c r="E94" s="17"/>
      <c r="F94" s="17"/>
      <c r="G94" s="17"/>
      <c r="H94" s="17"/>
      <c r="I94" s="17"/>
    </row>
    <row r="95" customFormat="false" ht="14.25" hidden="false" customHeight="true" outlineLevel="0" collapsed="false">
      <c r="A95" s="35" t="s">
        <v>303</v>
      </c>
      <c r="B95" s="17"/>
      <c r="C95" s="93" t="n">
        <v>85000</v>
      </c>
      <c r="D95" s="93" t="n">
        <v>155664</v>
      </c>
      <c r="E95" s="17"/>
      <c r="F95" s="17"/>
      <c r="G95" s="17"/>
      <c r="H95" s="17"/>
      <c r="I95" s="17"/>
    </row>
    <row r="96" customFormat="false" ht="14.25" hidden="false" customHeight="true" outlineLevel="0" collapsed="false">
      <c r="A96" s="35" t="s">
        <v>304</v>
      </c>
      <c r="B96" s="17"/>
      <c r="C96" s="93" t="n">
        <v>475684</v>
      </c>
      <c r="D96" s="93" t="n">
        <v>537082</v>
      </c>
      <c r="E96" s="35" t="s">
        <v>305</v>
      </c>
      <c r="F96" s="17"/>
      <c r="G96" s="17"/>
      <c r="H96" s="17"/>
      <c r="I96" s="17"/>
    </row>
    <row r="97" customFormat="false" ht="14.25" hidden="false" customHeight="true" outlineLevel="0" collapsed="false">
      <c r="A97" s="35" t="s">
        <v>306</v>
      </c>
      <c r="B97" s="17"/>
      <c r="C97" s="93" t="n">
        <v>1026593</v>
      </c>
      <c r="D97" s="93" t="n">
        <v>1263051</v>
      </c>
      <c r="E97" s="35" t="s">
        <v>307</v>
      </c>
      <c r="F97" s="17"/>
      <c r="G97" s="17"/>
      <c r="H97" s="17"/>
      <c r="I97" s="17"/>
    </row>
    <row r="98" customFormat="false" ht="14.25" hidden="false" customHeight="true" outlineLevel="0" collapsed="false">
      <c r="A98" s="35" t="s">
        <v>308</v>
      </c>
      <c r="B98" s="17"/>
      <c r="C98" s="93" t="n">
        <v>134987</v>
      </c>
      <c r="D98" s="93" t="n">
        <v>157984</v>
      </c>
      <c r="E98" s="35" t="s">
        <v>309</v>
      </c>
      <c r="F98" s="17"/>
      <c r="G98" s="17"/>
      <c r="H98" s="17"/>
      <c r="I98" s="17"/>
    </row>
    <row r="99" customFormat="false" ht="14.25" hidden="false" customHeight="true" outlineLevel="0" collapsed="false">
      <c r="A99" s="35" t="s">
        <v>310</v>
      </c>
      <c r="B99" s="17"/>
      <c r="C99" s="93" t="n">
        <v>446419</v>
      </c>
      <c r="D99" s="93" t="n">
        <v>572407</v>
      </c>
      <c r="E99" s="35" t="s">
        <v>311</v>
      </c>
      <c r="F99" s="17"/>
      <c r="G99" s="17"/>
      <c r="H99" s="17"/>
      <c r="I99" s="17"/>
    </row>
    <row r="100" customFormat="false" ht="14.25" hidden="false" customHeight="true" outlineLevel="0" collapsed="false">
      <c r="A100" s="35" t="s">
        <v>312</v>
      </c>
      <c r="B100" s="17"/>
      <c r="C100" s="93" t="n">
        <v>99175</v>
      </c>
      <c r="D100" s="93" t="n">
        <v>99164</v>
      </c>
      <c r="E100" s="35" t="s">
        <v>313</v>
      </c>
      <c r="F100" s="17"/>
      <c r="G100" s="17"/>
      <c r="H100" s="17"/>
      <c r="I100" s="17"/>
    </row>
    <row r="101" customFormat="false" ht="14.25" hidden="false" customHeight="true" outlineLevel="0" collapsed="false">
      <c r="A101" s="35" t="s">
        <v>314</v>
      </c>
      <c r="B101" s="17"/>
      <c r="C101" s="93" t="n">
        <v>15135</v>
      </c>
      <c r="D101" s="93" t="n">
        <v>30879</v>
      </c>
      <c r="E101" s="35" t="s">
        <v>311</v>
      </c>
      <c r="F101" s="17"/>
      <c r="G101" s="17"/>
      <c r="H101" s="17"/>
      <c r="I101" s="17"/>
    </row>
    <row r="102" customFormat="false" ht="14.25" hidden="false" customHeight="true" outlineLevel="0" collapsed="false">
      <c r="A102" s="35" t="s">
        <v>315</v>
      </c>
      <c r="B102" s="17"/>
      <c r="C102" s="107" t="n">
        <v>228300</v>
      </c>
      <c r="D102" s="107" t="n">
        <v>285010</v>
      </c>
      <c r="E102" s="17"/>
      <c r="F102" s="17"/>
      <c r="G102" s="17"/>
      <c r="H102" s="17"/>
      <c r="I102" s="17"/>
    </row>
    <row r="103" customFormat="false" ht="14.25" hidden="false" customHeight="true" outlineLevel="0" collapsed="false">
      <c r="A103" s="35" t="s">
        <v>316</v>
      </c>
      <c r="B103" s="17"/>
      <c r="C103" s="197" t="n">
        <f aca="false">SUM(C95:C102)</f>
        <v>2511293</v>
      </c>
      <c r="D103" s="197" t="n">
        <f aca="false">SUM(D95:D102)</f>
        <v>3101241</v>
      </c>
      <c r="E103" s="17"/>
      <c r="F103" s="17"/>
      <c r="G103" s="17"/>
      <c r="H103" s="17"/>
      <c r="I103" s="17"/>
    </row>
    <row r="104" customFormat="false" ht="14.25" hidden="false" customHeight="true" outlineLevel="0" collapsed="false">
      <c r="A104" s="35" t="s">
        <v>317</v>
      </c>
      <c r="B104" s="17"/>
      <c r="C104" s="107" t="n">
        <v>-917537</v>
      </c>
      <c r="D104" s="107" t="n">
        <v>-1096891</v>
      </c>
      <c r="E104" s="17"/>
      <c r="F104" s="17"/>
      <c r="G104" s="17"/>
      <c r="H104" s="17"/>
      <c r="I104" s="17"/>
    </row>
    <row r="105" customFormat="false" ht="14.25" hidden="false" customHeight="true" outlineLevel="0" collapsed="false">
      <c r="A105" s="35" t="s">
        <v>318</v>
      </c>
      <c r="B105" s="17"/>
      <c r="C105" s="197" t="n">
        <f aca="false">SUM(C103:C104)</f>
        <v>1593756</v>
      </c>
      <c r="D105" s="197" t="n">
        <f aca="false">SUM(D103:D104)</f>
        <v>2004350</v>
      </c>
      <c r="E105" s="17"/>
      <c r="F105" s="17"/>
      <c r="G105" s="17"/>
      <c r="H105" s="17"/>
      <c r="I105" s="17"/>
    </row>
    <row r="106" customFormat="false" ht="14.25" hidden="false" customHeight="true" outlineLevel="0" collapsed="false">
      <c r="A106" s="17"/>
      <c r="B106" s="17"/>
      <c r="C106" s="17"/>
      <c r="D106" s="17"/>
      <c r="E106" s="17"/>
      <c r="F106" s="17"/>
      <c r="G106" s="17"/>
      <c r="H106" s="17"/>
      <c r="I106" s="17"/>
    </row>
    <row r="107" customFormat="false" ht="14.25" hidden="false" customHeight="true" outlineLevel="0" collapsed="false">
      <c r="A107" s="17"/>
      <c r="B107" s="17"/>
      <c r="C107" s="17"/>
      <c r="D107" s="17"/>
      <c r="E107" s="17"/>
      <c r="F107" s="17"/>
      <c r="G107" s="17"/>
      <c r="H107" s="17"/>
      <c r="I107" s="17"/>
    </row>
    <row r="108" customFormat="false" ht="14.25" hidden="false" customHeight="true" outlineLevel="0" collapsed="false">
      <c r="A108" s="46" t="s">
        <v>319</v>
      </c>
      <c r="B108" s="17"/>
      <c r="C108" s="17"/>
      <c r="D108" s="17"/>
      <c r="E108" s="17"/>
      <c r="F108" s="17"/>
      <c r="G108" s="17"/>
      <c r="H108" s="17"/>
      <c r="I108" s="17"/>
    </row>
    <row r="109" customFormat="false" ht="14.25" hidden="false" customHeight="true" outlineLevel="0" collapsed="false">
      <c r="A109" s="35" t="s">
        <v>320</v>
      </c>
      <c r="B109" s="93" t="n">
        <v>430856</v>
      </c>
      <c r="C109" s="93" t="n">
        <v>468282</v>
      </c>
      <c r="D109" s="93" t="n">
        <v>503637</v>
      </c>
      <c r="E109" s="17"/>
      <c r="F109" s="17"/>
      <c r="G109" s="17"/>
      <c r="H109" s="17"/>
      <c r="I109" s="17"/>
    </row>
    <row r="110" customFormat="false" ht="14.25" hidden="false" customHeight="true" outlineLevel="0" collapsed="false">
      <c r="A110" s="35" t="s">
        <v>321</v>
      </c>
      <c r="B110" s="107" t="n">
        <v>207822</v>
      </c>
      <c r="C110" s="107" t="n">
        <v>197691</v>
      </c>
      <c r="D110" s="107" t="n">
        <v>207324</v>
      </c>
      <c r="E110" s="17"/>
      <c r="F110" s="17"/>
      <c r="G110" s="17"/>
      <c r="H110" s="17"/>
      <c r="I110" s="17"/>
    </row>
    <row r="111" customFormat="false" ht="14.25" hidden="false" customHeight="true" outlineLevel="0" collapsed="false">
      <c r="A111" s="35" t="s">
        <v>322</v>
      </c>
      <c r="B111" s="197" t="n">
        <f aca="false">SUM(B109:B110)</f>
        <v>638678</v>
      </c>
      <c r="C111" s="197" t="n">
        <f aca="false">SUM(C109:C110)</f>
        <v>665973</v>
      </c>
      <c r="D111" s="197" t="n">
        <f aca="false">SUM(D109:D110)</f>
        <v>710961</v>
      </c>
      <c r="E111" s="17"/>
      <c r="F111" s="17"/>
      <c r="G111" s="17"/>
      <c r="H111" s="17"/>
      <c r="I111" s="17"/>
    </row>
    <row r="112" customFormat="false" ht="14.25" hidden="false" customHeight="true" outlineLevel="0" collapsed="false">
      <c r="A112" s="17"/>
      <c r="B112" s="17"/>
      <c r="C112" s="17"/>
      <c r="D112" s="17"/>
      <c r="E112" s="17"/>
      <c r="F112" s="17"/>
      <c r="G112" s="17"/>
      <c r="H112" s="17"/>
      <c r="I112" s="17"/>
    </row>
    <row r="113" customFormat="false" ht="14.25" hidden="false" customHeight="true" outlineLevel="0" collapsed="false">
      <c r="A113" s="17"/>
      <c r="B113" s="17"/>
      <c r="C113" s="17"/>
      <c r="D113" s="17"/>
      <c r="E113" s="17"/>
      <c r="F113" s="17"/>
      <c r="G113" s="17"/>
      <c r="H113" s="17"/>
      <c r="I113" s="17"/>
    </row>
    <row r="114" customFormat="false" ht="14.25" hidden="false" customHeight="true" outlineLevel="0" collapsed="false">
      <c r="A114" s="35" t="s">
        <v>323</v>
      </c>
      <c r="B114" s="17"/>
      <c r="C114" s="93" t="n">
        <v>2102310</v>
      </c>
      <c r="D114" s="93" t="n">
        <v>2207161</v>
      </c>
      <c r="E114" s="17"/>
      <c r="F114" s="17"/>
      <c r="G114" s="17"/>
      <c r="H114" s="17"/>
      <c r="I114" s="17"/>
    </row>
    <row r="115" customFormat="false" ht="14.25" hidden="false" customHeight="true" outlineLevel="0" collapsed="false">
      <c r="A115" s="17"/>
      <c r="B115" s="17"/>
      <c r="C115" s="139"/>
      <c r="D115" s="139"/>
      <c r="E115" s="17"/>
      <c r="F115" s="17"/>
      <c r="G115" s="17"/>
      <c r="H115" s="17"/>
      <c r="I115" s="17"/>
    </row>
    <row r="116" customFormat="false" ht="14.25" hidden="false" customHeight="true" outlineLevel="0" collapsed="false">
      <c r="A116" s="35" t="s">
        <v>324</v>
      </c>
      <c r="B116" s="17"/>
      <c r="C116" s="93" t="n">
        <v>428482</v>
      </c>
      <c r="D116" s="93" t="n">
        <v>460475</v>
      </c>
      <c r="E116" s="17"/>
      <c r="F116" s="17"/>
      <c r="G116" s="17"/>
      <c r="H116" s="17"/>
      <c r="I116" s="17"/>
    </row>
    <row r="117" customFormat="false" ht="14.25" hidden="false" customHeight="true" outlineLevel="0" collapsed="false">
      <c r="A117" s="35" t="s">
        <v>325</v>
      </c>
      <c r="B117" s="17"/>
      <c r="C117" s="93" t="n">
        <v>1983688</v>
      </c>
      <c r="D117" s="93" t="n">
        <v>2052526</v>
      </c>
      <c r="E117" s="17"/>
      <c r="F117" s="17"/>
      <c r="G117" s="17"/>
      <c r="H117" s="17"/>
      <c r="I117" s="17"/>
    </row>
    <row r="118" customFormat="false" ht="15" hidden="false" customHeight="true" outlineLevel="0" collapsed="false">
      <c r="A118" s="35" t="s">
        <v>326</v>
      </c>
      <c r="B118" s="17"/>
      <c r="C118" s="199" t="n">
        <f aca="false">SUM(C116:C117)</f>
        <v>2412170</v>
      </c>
      <c r="D118" s="199" t="n">
        <f aca="false">SUM(D116:D117)</f>
        <v>2513001</v>
      </c>
      <c r="E118" s="17"/>
      <c r="F118" s="17"/>
      <c r="G118" s="17"/>
      <c r="H118" s="17"/>
      <c r="I118" s="17"/>
    </row>
    <row r="119" customFormat="false" ht="15" hidden="false" customHeight="true" outlineLevel="0" collapsed="false">
      <c r="A119" s="17"/>
      <c r="B119" s="17"/>
      <c r="C119" s="17"/>
      <c r="D119" s="17"/>
      <c r="E119" s="17"/>
      <c r="F119" s="17"/>
      <c r="G119" s="17"/>
      <c r="H119" s="17"/>
      <c r="I119" s="17"/>
    </row>
    <row r="120" customFormat="false" ht="15" hidden="false" customHeight="true" outlineLevel="0" collapsed="false">
      <c r="A120" s="35" t="s">
        <v>327</v>
      </c>
      <c r="B120" s="17"/>
      <c r="C120" s="35" t="s">
        <v>328</v>
      </c>
      <c r="D120" s="35" t="s">
        <v>329</v>
      </c>
      <c r="E120" s="17"/>
      <c r="F120" s="17"/>
      <c r="G120" s="17"/>
      <c r="H120" s="17"/>
      <c r="I120" s="17"/>
    </row>
    <row r="121" customFormat="false" ht="15" hidden="false" customHeight="true" outlineLevel="0" collapsed="false">
      <c r="A121" s="35" t="s">
        <v>330</v>
      </c>
      <c r="B121" s="17"/>
      <c r="C121" s="38" t="n">
        <v>0.035</v>
      </c>
      <c r="D121" s="38" t="n">
        <v>0.038</v>
      </c>
      <c r="E121" s="17"/>
      <c r="F121" s="17"/>
      <c r="G121" s="17"/>
      <c r="H121" s="17"/>
      <c r="I121" s="17"/>
    </row>
    <row r="122" customFormat="false" ht="15" hidden="false" customHeight="true" outlineLevel="0" collapsed="false">
      <c r="A122" s="17"/>
      <c r="B122" s="17"/>
      <c r="C122" s="17"/>
      <c r="D122" s="17"/>
      <c r="E122" s="17"/>
      <c r="F122" s="17"/>
      <c r="G122" s="17"/>
      <c r="H122" s="17"/>
      <c r="I122" s="17"/>
    </row>
    <row r="123" customFormat="false" ht="15" hidden="false" customHeight="true" outlineLevel="0" collapsed="false">
      <c r="A123" s="17"/>
      <c r="B123" s="17"/>
      <c r="C123" s="17"/>
      <c r="D123" s="17"/>
      <c r="E123" s="17"/>
      <c r="F123" s="17"/>
      <c r="G123" s="17"/>
      <c r="H123" s="17"/>
      <c r="I123" s="17"/>
    </row>
    <row r="124" customFormat="false" ht="15" hidden="false" customHeight="true" outlineLevel="0" collapsed="false">
      <c r="A124" s="35" t="s">
        <v>331</v>
      </c>
      <c r="B124" s="17"/>
      <c r="C124" s="17"/>
      <c r="D124" s="17"/>
      <c r="E124" s="17"/>
      <c r="F124" s="17"/>
      <c r="G124" s="17"/>
      <c r="H124" s="17"/>
      <c r="I124" s="17"/>
    </row>
    <row r="125" customFormat="false" ht="15" hidden="false" customHeight="true" outlineLevel="0" collapsed="false">
      <c r="A125" s="17"/>
      <c r="B125" s="17"/>
      <c r="C125" s="17"/>
      <c r="D125" s="17"/>
      <c r="E125" s="17"/>
      <c r="F125" s="17"/>
      <c r="G125" s="17"/>
      <c r="H125" s="17"/>
      <c r="I125" s="17"/>
    </row>
    <row r="126" customFormat="false" ht="15" hidden="false" customHeight="true" outlineLevel="0" collapsed="false">
      <c r="A126" s="17"/>
      <c r="B126" s="17"/>
      <c r="C126" s="17"/>
      <c r="D126" s="17"/>
      <c r="E126" s="17"/>
      <c r="F126" s="17"/>
      <c r="G126" s="17"/>
      <c r="H126" s="17"/>
      <c r="I126" s="17"/>
    </row>
    <row r="127" customFormat="false" ht="15" hidden="false" customHeight="true" outlineLevel="0" collapsed="false">
      <c r="A127" s="17"/>
      <c r="B127" s="17"/>
      <c r="C127" s="17"/>
      <c r="D127" s="17"/>
      <c r="E127" s="17"/>
      <c r="F127" s="17"/>
      <c r="G127" s="17"/>
      <c r="H127" s="17"/>
      <c r="I127" s="17"/>
    </row>
    <row r="128" customFormat="false" ht="15" hidden="false" customHeight="true" outlineLevel="0" collapsed="false">
      <c r="A128" s="35" t="s">
        <v>332</v>
      </c>
      <c r="B128" s="17"/>
      <c r="C128" s="17"/>
      <c r="D128" s="17"/>
      <c r="E128" s="17"/>
      <c r="F128" s="17"/>
      <c r="G128" s="17"/>
      <c r="H128" s="17"/>
      <c r="I128" s="17"/>
    </row>
    <row r="129" customFormat="false" ht="15" hidden="false" customHeight="true" outlineLevel="0" collapsed="false">
      <c r="A129" s="17"/>
      <c r="B129" s="17"/>
      <c r="C129" s="17"/>
      <c r="D129" s="17"/>
      <c r="E129" s="17"/>
      <c r="F129" s="17"/>
      <c r="G129" s="17"/>
      <c r="H129" s="17"/>
      <c r="I129" s="17"/>
    </row>
    <row r="130" customFormat="false" ht="15" hidden="false" customHeight="true" outlineLevel="0" collapsed="false">
      <c r="A130" s="46" t="s">
        <v>333</v>
      </c>
      <c r="B130" s="46" t="s">
        <v>334</v>
      </c>
      <c r="C130" s="46" t="s">
        <v>335</v>
      </c>
      <c r="D130" s="46" t="s">
        <v>336</v>
      </c>
      <c r="E130" s="46" t="s">
        <v>337</v>
      </c>
      <c r="F130" s="46" t="s">
        <v>338</v>
      </c>
      <c r="G130" s="46" t="s">
        <v>339</v>
      </c>
      <c r="H130" s="46" t="s">
        <v>340</v>
      </c>
      <c r="I130" s="46" t="s">
        <v>341</v>
      </c>
    </row>
    <row r="131" customFormat="false" ht="15" hidden="false" customHeight="true" outlineLevel="0" collapsed="false">
      <c r="A131" s="35" t="s">
        <v>342</v>
      </c>
      <c r="B131" s="93" t="n">
        <v>5214163</v>
      </c>
      <c r="C131" s="93" t="n">
        <v>0</v>
      </c>
      <c r="D131" s="93" t="n">
        <v>0</v>
      </c>
      <c r="E131" s="93" t="n">
        <v>5214163</v>
      </c>
      <c r="F131" s="93" t="n">
        <v>5208710</v>
      </c>
      <c r="G131" s="35" t="s">
        <v>343</v>
      </c>
      <c r="H131" s="93" t="n">
        <v>5369</v>
      </c>
      <c r="I131" s="93" t="n">
        <v>84</v>
      </c>
    </row>
    <row r="132" customFormat="false" ht="15" hidden="false" customHeight="true" outlineLevel="0" collapsed="false">
      <c r="A132" s="35" t="s">
        <v>344</v>
      </c>
      <c r="B132" s="17"/>
      <c r="C132" s="17"/>
      <c r="D132" s="17"/>
      <c r="E132" s="17"/>
      <c r="F132" s="17"/>
      <c r="G132" s="17"/>
      <c r="H132" s="17"/>
      <c r="I132" s="17"/>
    </row>
    <row r="133" customFormat="false" ht="15" hidden="false" customHeight="true" outlineLevel="0" collapsed="false">
      <c r="A133" s="35" t="s">
        <v>345</v>
      </c>
      <c r="B133" s="93" t="n">
        <v>3259240</v>
      </c>
      <c r="C133" s="93" t="n">
        <v>0</v>
      </c>
      <c r="D133" s="93" t="n">
        <v>0</v>
      </c>
      <c r="E133" s="93" t="n">
        <v>3259240</v>
      </c>
      <c r="F133" s="93" t="n">
        <v>3259180</v>
      </c>
      <c r="G133" s="35" t="s">
        <v>343</v>
      </c>
      <c r="H133" s="35" t="s">
        <v>343</v>
      </c>
      <c r="I133" s="93" t="n">
        <v>60</v>
      </c>
    </row>
    <row r="134" customFormat="false" ht="15" hidden="false" customHeight="true" outlineLevel="0" collapsed="false">
      <c r="A134" s="35" t="s">
        <v>346</v>
      </c>
      <c r="B134" s="17"/>
      <c r="C134" s="17"/>
      <c r="D134" s="17"/>
      <c r="E134" s="17"/>
      <c r="F134" s="17"/>
      <c r="G134" s="17"/>
      <c r="H134" s="17"/>
      <c r="I134" s="17"/>
    </row>
    <row r="135" customFormat="false" ht="15" hidden="false" customHeight="true" outlineLevel="0" collapsed="false">
      <c r="A135" s="35" t="s">
        <v>347</v>
      </c>
      <c r="B135" s="93" t="n">
        <v>594469</v>
      </c>
      <c r="C135" s="93" t="n">
        <v>0</v>
      </c>
      <c r="D135" s="93" t="n">
        <v>0</v>
      </c>
      <c r="E135" s="93" t="n">
        <v>594469</v>
      </c>
      <c r="F135" s="93" t="n">
        <v>565791</v>
      </c>
      <c r="G135" s="93" t="n">
        <v>28678</v>
      </c>
      <c r="H135" s="35" t="s">
        <v>343</v>
      </c>
      <c r="I135" s="35" t="s">
        <v>343</v>
      </c>
    </row>
    <row r="136" customFormat="false" ht="15" hidden="false" customHeight="true" outlineLevel="0" collapsed="false">
      <c r="A136" s="46" t="s">
        <v>348</v>
      </c>
      <c r="B136" s="197" t="n">
        <f aca="false">SUM(B131:B135)</f>
        <v>9067872</v>
      </c>
      <c r="C136" s="197" t="n">
        <f aca="false">SUM(C131:C135)</f>
        <v>0</v>
      </c>
      <c r="D136" s="197" t="n">
        <f aca="false">SUM(D131:D135)</f>
        <v>0</v>
      </c>
      <c r="E136" s="197" t="n">
        <f aca="false">SUM(E131:E135)</f>
        <v>9067872</v>
      </c>
      <c r="F136" s="197" t="n">
        <f aca="false">SUM(F131:F135)</f>
        <v>9033681</v>
      </c>
      <c r="G136" s="197" t="n">
        <f aca="false">SUM(G131:G135)</f>
        <v>28678</v>
      </c>
      <c r="H136" s="197" t="n">
        <f aca="false">SUM(H131:H135)</f>
        <v>5369</v>
      </c>
      <c r="I136" s="197" t="n">
        <f aca="false">SUM(I131:I135)</f>
        <v>144</v>
      </c>
    </row>
    <row r="137" customFormat="false" ht="15" hidden="false" customHeight="true" outlineLevel="0" collapsed="false">
      <c r="A137" s="17"/>
      <c r="B137" s="17"/>
      <c r="C137" s="17"/>
      <c r="D137" s="17"/>
      <c r="E137" s="17"/>
      <c r="F137" s="17"/>
      <c r="G137" s="17"/>
      <c r="H137" s="17"/>
      <c r="I137" s="17"/>
    </row>
    <row r="138" customFormat="false" ht="15" hidden="false" customHeight="true" outlineLevel="0" collapsed="false">
      <c r="A138" s="46" t="s">
        <v>349</v>
      </c>
      <c r="B138" s="46" t="s">
        <v>334</v>
      </c>
      <c r="C138" s="46" t="s">
        <v>335</v>
      </c>
      <c r="D138" s="46" t="s">
        <v>336</v>
      </c>
      <c r="E138" s="46" t="s">
        <v>337</v>
      </c>
      <c r="F138" s="46" t="s">
        <v>338</v>
      </c>
      <c r="G138" s="46" t="s">
        <v>339</v>
      </c>
      <c r="H138" s="46" t="s">
        <v>340</v>
      </c>
      <c r="I138" s="46" t="s">
        <v>341</v>
      </c>
    </row>
    <row r="139" customFormat="false" ht="15" hidden="false" customHeight="true" outlineLevel="0" collapsed="false">
      <c r="A139" s="35" t="s">
        <v>342</v>
      </c>
      <c r="B139" s="93" t="n">
        <v>4866753</v>
      </c>
      <c r="C139" s="35" t="s">
        <v>343</v>
      </c>
      <c r="D139" s="35" t="s">
        <v>343</v>
      </c>
      <c r="E139" s="93" t="n">
        <v>4866753</v>
      </c>
      <c r="F139" s="93" t="n">
        <v>4864207</v>
      </c>
      <c r="G139" s="35" t="s">
        <v>343</v>
      </c>
      <c r="H139" s="93" t="n">
        <v>2472</v>
      </c>
      <c r="I139" s="93" t="n">
        <v>74</v>
      </c>
    </row>
    <row r="140" customFormat="false" ht="15" hidden="false" customHeight="true" outlineLevel="0" collapsed="false">
      <c r="A140" s="35" t="s">
        <v>344</v>
      </c>
      <c r="B140" s="17"/>
      <c r="C140" s="17"/>
      <c r="D140" s="17"/>
      <c r="E140" s="17"/>
      <c r="F140" s="17"/>
      <c r="G140" s="17"/>
      <c r="H140" s="17"/>
      <c r="I140" s="17"/>
    </row>
    <row r="141" customFormat="false" ht="15" hidden="false" customHeight="true" outlineLevel="0" collapsed="false">
      <c r="A141" s="35" t="s">
        <v>345</v>
      </c>
      <c r="B141" s="93" t="n">
        <v>2676314</v>
      </c>
      <c r="C141" s="199" t="s">
        <v>343</v>
      </c>
      <c r="D141" s="199" t="s">
        <v>343</v>
      </c>
      <c r="E141" s="93" t="n">
        <v>2676314</v>
      </c>
      <c r="F141" s="93" t="n">
        <v>2676256</v>
      </c>
      <c r="G141" s="199" t="s">
        <v>343</v>
      </c>
      <c r="H141" s="199" t="s">
        <v>343</v>
      </c>
      <c r="I141" s="93" t="n">
        <v>58</v>
      </c>
    </row>
    <row r="142" customFormat="false" ht="15" hidden="false" customHeight="true" outlineLevel="0" collapsed="false">
      <c r="A142" s="35" t="s">
        <v>346</v>
      </c>
      <c r="B142" s="139"/>
      <c r="C142" s="17"/>
      <c r="D142" s="17"/>
      <c r="E142" s="139"/>
      <c r="F142" s="139"/>
      <c r="G142" s="17"/>
      <c r="H142" s="17"/>
      <c r="I142" s="139"/>
    </row>
    <row r="143" customFormat="false" ht="15" hidden="false" customHeight="true" outlineLevel="0" collapsed="false">
      <c r="A143" s="35" t="s">
        <v>347</v>
      </c>
      <c r="B143" s="93" t="n">
        <v>301374</v>
      </c>
      <c r="C143" s="35" t="s">
        <v>343</v>
      </c>
      <c r="D143" s="35" t="s">
        <v>343</v>
      </c>
      <c r="E143" s="93" t="n">
        <v>301374</v>
      </c>
      <c r="F143" s="93" t="n">
        <v>264270</v>
      </c>
      <c r="G143" s="93" t="n">
        <v>37104</v>
      </c>
      <c r="H143" s="35" t="s">
        <v>343</v>
      </c>
      <c r="I143" s="199" t="s">
        <v>343</v>
      </c>
    </row>
    <row r="144" customFormat="false" ht="15" hidden="false" customHeight="true" outlineLevel="0" collapsed="false">
      <c r="A144" s="35" t="s">
        <v>350</v>
      </c>
      <c r="B144" s="93" t="n">
        <v>1738642</v>
      </c>
      <c r="C144" s="93" t="n">
        <v>3260</v>
      </c>
      <c r="D144" s="35" t="s">
        <v>343</v>
      </c>
      <c r="E144" s="93" t="n">
        <v>1741902</v>
      </c>
      <c r="F144" s="199" t="s">
        <v>343</v>
      </c>
      <c r="G144" s="93" t="n">
        <v>1741902</v>
      </c>
      <c r="H144" s="35" t="s">
        <v>343</v>
      </c>
      <c r="I144" s="199" t="s">
        <v>343</v>
      </c>
    </row>
    <row r="145" customFormat="false" ht="15" hidden="false" customHeight="true" outlineLevel="0" collapsed="false">
      <c r="A145" s="46" t="s">
        <v>348</v>
      </c>
      <c r="B145" s="197" t="n">
        <f aca="false">SUM(B139:B144)</f>
        <v>9583083</v>
      </c>
      <c r="C145" s="197" t="n">
        <f aca="false">SUM(C139:C144)</f>
        <v>3260</v>
      </c>
      <c r="D145" s="197" t="n">
        <f aca="false">SUM(D139:D144)</f>
        <v>0</v>
      </c>
      <c r="E145" s="197" t="n">
        <f aca="false">SUM(E139:E144)</f>
        <v>9586343</v>
      </c>
      <c r="F145" s="197" t="n">
        <f aca="false">SUM(F139:F144)</f>
        <v>7804733</v>
      </c>
      <c r="G145" s="197" t="n">
        <f aca="false">SUM(G139:G144)</f>
        <v>1779006</v>
      </c>
      <c r="H145" s="197" t="n">
        <f aca="false">SUM(H139:H144)</f>
        <v>2472</v>
      </c>
      <c r="I145" s="197" t="n">
        <f aca="false">SUM(I139:I144)</f>
        <v>132</v>
      </c>
    </row>
    <row r="146" customFormat="false" ht="15" hidden="false" customHeight="true" outlineLevel="0" collapsed="false">
      <c r="A146" s="17"/>
      <c r="B146" s="17"/>
      <c r="C146" s="17"/>
      <c r="D146" s="17"/>
      <c r="E146" s="17"/>
      <c r="F146" s="17"/>
      <c r="G146" s="17"/>
      <c r="H146" s="17"/>
      <c r="I146" s="17"/>
    </row>
    <row r="147" customFormat="false" ht="56.25" hidden="false" customHeight="true" outlineLevel="0" collapsed="false">
      <c r="A147" s="143" t="s">
        <v>351</v>
      </c>
      <c r="B147" s="143"/>
      <c r="C147" s="143"/>
      <c r="D147" s="143"/>
      <c r="E147" s="200"/>
      <c r="F147" s="200"/>
      <c r="G147" s="200"/>
      <c r="H147" s="200"/>
      <c r="I147" s="200"/>
    </row>
    <row r="148" customFormat="false" ht="15" hidden="false" customHeight="true" outlineLevel="0" collapsed="false">
      <c r="A148" s="113"/>
      <c r="B148" s="201"/>
      <c r="C148" s="202"/>
      <c r="D148" s="202"/>
      <c r="E148" s="201"/>
      <c r="F148" s="201"/>
      <c r="G148" s="202"/>
      <c r="H148" s="201"/>
      <c r="I148" s="202"/>
    </row>
    <row r="149" customFormat="false" ht="15" hidden="false" customHeight="true" outlineLevel="0" collapsed="false">
      <c r="A149" s="113"/>
      <c r="B149" s="201"/>
      <c r="C149" s="202"/>
      <c r="D149" s="202"/>
      <c r="E149" s="201"/>
      <c r="F149" s="201"/>
      <c r="G149" s="202"/>
      <c r="H149" s="201"/>
      <c r="I149" s="202"/>
    </row>
    <row r="150" customFormat="false" ht="15" hidden="false" customHeight="true" outlineLevel="0" collapsed="false">
      <c r="A150" s="113"/>
      <c r="B150" s="201"/>
      <c r="C150" s="202"/>
      <c r="D150" s="202"/>
      <c r="E150" s="201"/>
      <c r="F150" s="201"/>
      <c r="G150" s="202"/>
      <c r="H150" s="201"/>
      <c r="I150" s="202"/>
    </row>
    <row r="151" customFormat="false" ht="15" hidden="false" customHeight="true" outlineLevel="0" collapsed="false">
      <c r="A151" s="46" t="s">
        <v>283</v>
      </c>
      <c r="B151" s="201"/>
      <c r="C151" s="202"/>
      <c r="D151" s="202"/>
      <c r="E151" s="201"/>
      <c r="F151" s="201"/>
      <c r="G151" s="202"/>
      <c r="H151" s="202"/>
      <c r="I151" s="202"/>
    </row>
    <row r="152" customFormat="false" ht="15" hidden="false" customHeight="true" outlineLevel="0" collapsed="false">
      <c r="A152" s="47"/>
      <c r="B152" s="201"/>
      <c r="C152" s="202"/>
      <c r="D152" s="202"/>
      <c r="E152" s="201"/>
      <c r="F152" s="201"/>
      <c r="G152" s="202"/>
      <c r="H152" s="202"/>
      <c r="I152" s="202"/>
    </row>
    <row r="153" customFormat="false" ht="79.5" hidden="false" customHeight="true" outlineLevel="0" collapsed="false">
      <c r="A153" s="143" t="s">
        <v>352</v>
      </c>
      <c r="B153" s="143"/>
      <c r="C153" s="143"/>
      <c r="D153" s="143"/>
      <c r="E153" s="145"/>
      <c r="F153" s="145"/>
      <c r="G153" s="145"/>
      <c r="H153" s="202"/>
      <c r="I153" s="202"/>
    </row>
    <row r="154" customFormat="false" ht="15" hidden="false" customHeight="true" outlineLevel="0" collapsed="false">
      <c r="A154" s="47"/>
      <c r="B154" s="201"/>
      <c r="C154" s="202"/>
      <c r="D154" s="202"/>
      <c r="E154" s="201"/>
      <c r="F154" s="201"/>
      <c r="G154" s="202"/>
      <c r="H154" s="202"/>
      <c r="I154" s="202"/>
    </row>
    <row r="155" customFormat="false" ht="15" hidden="false" customHeight="true" outlineLevel="0" collapsed="false">
      <c r="A155" s="17"/>
      <c r="B155" s="17"/>
      <c r="C155" s="17"/>
      <c r="D155" s="17"/>
      <c r="E155" s="17"/>
      <c r="F155" s="17"/>
      <c r="G155" s="17"/>
      <c r="H155" s="202"/>
      <c r="I155" s="202"/>
    </row>
    <row r="156" customFormat="false" ht="15" hidden="false" customHeight="true" outlineLevel="0" collapsed="false">
      <c r="A156" s="17"/>
      <c r="B156" s="17"/>
      <c r="C156" s="17"/>
      <c r="D156" s="17"/>
      <c r="E156" s="17"/>
      <c r="F156" s="17"/>
      <c r="G156" s="17"/>
      <c r="H156" s="202"/>
      <c r="I156" s="202"/>
    </row>
    <row r="157" customFormat="false" ht="15" hidden="false" customHeight="true" outlineLevel="0" collapsed="false">
      <c r="A157" s="17"/>
      <c r="B157" s="17"/>
      <c r="C157" s="17"/>
      <c r="D157" s="17"/>
      <c r="E157" s="17"/>
      <c r="F157" s="17"/>
      <c r="G157" s="17"/>
      <c r="H157" s="200"/>
      <c r="I157" s="200"/>
    </row>
    <row r="158" customFormat="false" ht="15" hidden="false" customHeight="true" outlineLevel="0" collapsed="false">
      <c r="A158" s="17"/>
      <c r="B158" s="17"/>
      <c r="C158" s="17"/>
      <c r="D158" s="17"/>
      <c r="E158" s="17"/>
      <c r="F158" s="17"/>
      <c r="G158" s="17"/>
      <c r="H158" s="201"/>
      <c r="I158" s="202"/>
    </row>
    <row r="159" customFormat="false" ht="15" hidden="false" customHeight="true" outlineLevel="0" collapsed="false">
      <c r="A159" s="17"/>
      <c r="B159" s="17"/>
      <c r="C159" s="17"/>
      <c r="D159" s="17"/>
      <c r="E159" s="17"/>
      <c r="F159" s="17"/>
      <c r="G159" s="17"/>
      <c r="H159" s="202"/>
      <c r="I159" s="202"/>
    </row>
    <row r="160" customFormat="false" ht="15" hidden="false" customHeight="true" outlineLevel="0" collapsed="false">
      <c r="A160" s="17"/>
      <c r="B160" s="17"/>
      <c r="C160" s="17"/>
      <c r="D160" s="17"/>
      <c r="E160" s="17"/>
      <c r="F160" s="17"/>
      <c r="G160" s="17"/>
      <c r="H160" s="202"/>
      <c r="I160" s="202"/>
    </row>
    <row r="161" customFormat="false" ht="15" hidden="false" customHeight="true" outlineLevel="0" collapsed="false">
      <c r="A161" s="17"/>
      <c r="B161" s="17"/>
      <c r="C161" s="17"/>
      <c r="D161" s="17"/>
      <c r="E161" s="17"/>
      <c r="F161" s="17"/>
      <c r="G161" s="17"/>
      <c r="H161" s="202"/>
      <c r="I161" s="202"/>
    </row>
    <row r="162" customFormat="false" ht="15" hidden="false" customHeight="true" outlineLevel="0" collapsed="false">
      <c r="A162" s="17"/>
      <c r="B162" s="17"/>
      <c r="C162" s="17"/>
      <c r="D162" s="17"/>
      <c r="E162" s="17"/>
      <c r="F162" s="17"/>
      <c r="G162" s="17"/>
      <c r="H162" s="203"/>
      <c r="I162" s="200"/>
    </row>
    <row r="163" customFormat="false" ht="15" hidden="false" customHeight="true" outlineLevel="0" collapsed="false">
      <c r="A163" s="17"/>
      <c r="B163" s="17"/>
      <c r="C163" s="17"/>
      <c r="D163" s="17"/>
      <c r="E163" s="17"/>
      <c r="F163" s="17"/>
      <c r="G163" s="17"/>
      <c r="H163" s="17"/>
      <c r="I163" s="17"/>
    </row>
    <row r="164" customFormat="false" ht="15" hidden="false" customHeight="true" outlineLevel="0" collapsed="false">
      <c r="A164" s="17"/>
      <c r="B164" s="17"/>
      <c r="C164" s="17"/>
      <c r="D164" s="17"/>
      <c r="E164" s="17"/>
      <c r="F164" s="17"/>
      <c r="G164" s="17"/>
      <c r="H164" s="17"/>
      <c r="I164" s="17"/>
    </row>
    <row r="165" customFormat="false" ht="15" hidden="false" customHeight="true" outlineLevel="0" collapsed="false">
      <c r="A165" s="17"/>
      <c r="B165" s="17"/>
      <c r="C165" s="17"/>
      <c r="D165" s="17"/>
      <c r="E165" s="17"/>
      <c r="F165" s="17"/>
      <c r="G165" s="17"/>
      <c r="H165" s="17"/>
      <c r="I165" s="17"/>
    </row>
    <row r="166" customFormat="false" ht="15" hidden="false" customHeight="true" outlineLevel="0" collapsed="false">
      <c r="A166" s="17"/>
      <c r="B166" s="17"/>
      <c r="C166" s="17"/>
      <c r="D166" s="17"/>
      <c r="E166" s="17"/>
      <c r="F166" s="17"/>
      <c r="G166" s="17"/>
      <c r="H166" s="17"/>
      <c r="I166" s="17"/>
    </row>
    <row r="167" customFormat="false" ht="15" hidden="false" customHeight="true" outlineLevel="0" collapsed="false">
      <c r="A167" s="17"/>
      <c r="B167" s="17"/>
      <c r="C167" s="17"/>
      <c r="D167" s="17"/>
      <c r="E167" s="17"/>
      <c r="F167" s="17"/>
      <c r="G167" s="17"/>
      <c r="H167" s="17"/>
      <c r="I167" s="17"/>
    </row>
    <row r="168" customFormat="false" ht="15" hidden="false" customHeight="true" outlineLevel="0" collapsed="false">
      <c r="A168" s="17"/>
      <c r="B168" s="17"/>
      <c r="C168" s="17"/>
      <c r="D168" s="17"/>
      <c r="E168" s="17"/>
      <c r="F168" s="17"/>
      <c r="G168" s="17"/>
      <c r="H168" s="17"/>
      <c r="I168" s="17"/>
    </row>
    <row r="169" customFormat="false" ht="15" hidden="false" customHeight="true" outlineLevel="0" collapsed="false">
      <c r="A169" s="17"/>
      <c r="B169" s="17"/>
      <c r="C169" s="17"/>
      <c r="D169" s="17"/>
      <c r="E169" s="17"/>
      <c r="F169" s="17"/>
      <c r="G169" s="17"/>
      <c r="H169" s="17"/>
      <c r="I169" s="17"/>
    </row>
    <row r="170" customFormat="false" ht="15" hidden="false" customHeight="true" outlineLevel="0" collapsed="false">
      <c r="A170" s="17"/>
      <c r="B170" s="17"/>
      <c r="C170" s="17"/>
      <c r="D170" s="17"/>
      <c r="E170" s="17"/>
      <c r="F170" s="17"/>
      <c r="G170" s="17"/>
      <c r="H170" s="17"/>
      <c r="I170" s="17"/>
    </row>
    <row r="171" customFormat="false" ht="15" hidden="false" customHeight="true" outlineLevel="0" collapsed="false">
      <c r="A171" s="17"/>
      <c r="B171" s="17"/>
      <c r="C171" s="17"/>
      <c r="D171" s="17"/>
      <c r="E171" s="17"/>
      <c r="F171" s="17"/>
      <c r="G171" s="17"/>
      <c r="H171" s="17"/>
      <c r="I171" s="17"/>
    </row>
    <row r="172" customFormat="false" ht="15" hidden="false" customHeight="true" outlineLevel="0" collapsed="false">
      <c r="A172" s="17"/>
      <c r="B172" s="17"/>
      <c r="C172" s="17"/>
      <c r="D172" s="17"/>
      <c r="E172" s="17"/>
      <c r="F172" s="17"/>
      <c r="G172" s="17"/>
      <c r="H172" s="17"/>
      <c r="I172" s="17"/>
    </row>
    <row r="173" customFormat="false" ht="15" hidden="false" customHeight="true" outlineLevel="0" collapsed="false">
      <c r="A173" s="17"/>
      <c r="B173" s="17"/>
      <c r="C173" s="17"/>
      <c r="D173" s="17"/>
      <c r="E173" s="17"/>
      <c r="F173" s="17"/>
      <c r="G173" s="17"/>
      <c r="H173" s="17"/>
      <c r="I173" s="17"/>
    </row>
    <row r="174" customFormat="false" ht="15" hidden="false" customHeight="true" outlineLevel="0" collapsed="false">
      <c r="A174" s="17"/>
      <c r="B174" s="17"/>
      <c r="C174" s="17"/>
      <c r="D174" s="17"/>
      <c r="E174" s="17"/>
      <c r="F174" s="17"/>
      <c r="G174" s="17"/>
      <c r="H174" s="17"/>
      <c r="I174" s="17"/>
    </row>
    <row r="175" customFormat="false" ht="15" hidden="false" customHeight="true" outlineLevel="0" collapsed="false">
      <c r="A175" s="17"/>
      <c r="B175" s="17"/>
      <c r="C175" s="17"/>
      <c r="D175" s="17"/>
      <c r="E175" s="17"/>
      <c r="F175" s="17"/>
      <c r="G175" s="17"/>
      <c r="H175" s="17"/>
      <c r="I175" s="17"/>
    </row>
    <row r="176" customFormat="false" ht="15" hidden="false" customHeight="true" outlineLevel="0" collapsed="false">
      <c r="A176" s="17"/>
      <c r="B176" s="17"/>
      <c r="C176" s="17"/>
      <c r="D176" s="17"/>
      <c r="E176" s="17"/>
      <c r="F176" s="17"/>
      <c r="G176" s="17"/>
      <c r="H176" s="17"/>
      <c r="I176" s="17"/>
    </row>
    <row r="177" customFormat="false" ht="15" hidden="false" customHeight="true" outlineLevel="0" collapsed="false">
      <c r="A177" s="17"/>
      <c r="B177" s="17"/>
      <c r="C177" s="17"/>
      <c r="D177" s="17"/>
      <c r="E177" s="17"/>
      <c r="F177" s="17"/>
      <c r="G177" s="17"/>
      <c r="H177" s="17"/>
      <c r="I177" s="17"/>
    </row>
    <row r="178" customFormat="false" ht="15" hidden="false" customHeight="true" outlineLevel="0" collapsed="false">
      <c r="A178" s="17"/>
      <c r="B178" s="17"/>
      <c r="C178" s="17"/>
      <c r="D178" s="17"/>
      <c r="E178" s="17"/>
      <c r="F178" s="17"/>
      <c r="G178" s="17"/>
      <c r="H178" s="17"/>
      <c r="I178" s="17"/>
    </row>
    <row r="179" customFormat="false" ht="15" hidden="false" customHeight="true" outlineLevel="0" collapsed="false">
      <c r="A179" s="17"/>
      <c r="B179" s="17"/>
      <c r="C179" s="17"/>
      <c r="D179" s="17"/>
      <c r="E179" s="17"/>
      <c r="F179" s="17"/>
      <c r="G179" s="17"/>
      <c r="H179" s="17"/>
      <c r="I179" s="17"/>
    </row>
    <row r="180" customFormat="false" ht="15" hidden="false" customHeight="true" outlineLevel="0" collapsed="false">
      <c r="A180" s="17"/>
      <c r="B180" s="17"/>
      <c r="C180" s="17"/>
      <c r="D180" s="17"/>
      <c r="E180" s="17"/>
      <c r="F180" s="17"/>
      <c r="G180" s="17"/>
      <c r="H180" s="17"/>
      <c r="I180" s="17"/>
    </row>
    <row r="181" customFormat="false" ht="15" hidden="false" customHeight="true" outlineLevel="0" collapsed="false">
      <c r="A181" s="17"/>
      <c r="B181" s="17"/>
      <c r="C181" s="17"/>
      <c r="D181" s="17"/>
      <c r="E181" s="17"/>
      <c r="F181" s="17"/>
      <c r="G181" s="17"/>
      <c r="H181" s="17"/>
      <c r="I181" s="17"/>
    </row>
    <row r="182" customFormat="false" ht="15" hidden="false" customHeight="true" outlineLevel="0" collapsed="false">
      <c r="A182" s="17"/>
      <c r="B182" s="17"/>
      <c r="C182" s="17"/>
      <c r="D182" s="17"/>
      <c r="E182" s="17"/>
      <c r="F182" s="17"/>
      <c r="G182" s="17"/>
      <c r="H182" s="17"/>
      <c r="I182" s="17"/>
    </row>
    <row r="183" customFormat="false" ht="15" hidden="false" customHeight="true" outlineLevel="0" collapsed="false">
      <c r="A183" s="17"/>
      <c r="B183" s="17"/>
      <c r="C183" s="17"/>
      <c r="D183" s="17"/>
      <c r="E183" s="17"/>
      <c r="F183" s="17"/>
      <c r="G183" s="17"/>
      <c r="H183" s="17"/>
      <c r="I183" s="17"/>
    </row>
    <row r="184" customFormat="false" ht="15" hidden="false" customHeight="true" outlineLevel="0" collapsed="false">
      <c r="A184" s="17"/>
      <c r="B184" s="17"/>
      <c r="C184" s="17"/>
      <c r="D184" s="17"/>
      <c r="E184" s="17"/>
      <c r="F184" s="17"/>
      <c r="G184" s="17"/>
      <c r="H184" s="17"/>
      <c r="I184" s="17"/>
    </row>
    <row r="185" customFormat="false" ht="15" hidden="false" customHeight="true" outlineLevel="0" collapsed="false">
      <c r="A185" s="17"/>
      <c r="B185" s="17"/>
      <c r="C185" s="17"/>
      <c r="D185" s="17"/>
      <c r="E185" s="17"/>
      <c r="F185" s="17"/>
      <c r="G185" s="17"/>
      <c r="H185" s="17"/>
      <c r="I185" s="17"/>
    </row>
    <row r="186" customFormat="false" ht="15" hidden="false" customHeight="true" outlineLevel="0" collapsed="false">
      <c r="A186" s="17"/>
      <c r="B186" s="17"/>
      <c r="C186" s="17"/>
      <c r="D186" s="17"/>
      <c r="E186" s="17"/>
      <c r="F186" s="17"/>
      <c r="G186" s="17"/>
      <c r="H186" s="17"/>
      <c r="I186" s="17"/>
    </row>
    <row r="187" customFormat="false" ht="15" hidden="false" customHeight="true" outlineLevel="0" collapsed="false">
      <c r="A187" s="17"/>
      <c r="B187" s="17"/>
      <c r="C187" s="17"/>
      <c r="D187" s="17"/>
      <c r="E187" s="17"/>
      <c r="F187" s="17"/>
      <c r="G187" s="17"/>
      <c r="H187" s="17"/>
      <c r="I187" s="17"/>
    </row>
    <row r="188" customFormat="false" ht="15" hidden="false" customHeight="true" outlineLevel="0" collapsed="false">
      <c r="A188" s="17"/>
      <c r="B188" s="17"/>
      <c r="C188" s="17"/>
      <c r="D188" s="17"/>
      <c r="E188" s="17"/>
      <c r="F188" s="17"/>
      <c r="G188" s="17"/>
      <c r="H188" s="17"/>
      <c r="I188" s="17"/>
    </row>
    <row r="189" customFormat="false" ht="15" hidden="false" customHeight="true" outlineLevel="0" collapsed="false">
      <c r="A189" s="17"/>
      <c r="B189" s="17"/>
      <c r="C189" s="17"/>
      <c r="D189" s="17"/>
      <c r="E189" s="17"/>
      <c r="F189" s="17"/>
      <c r="G189" s="17"/>
      <c r="H189" s="17"/>
      <c r="I189" s="17"/>
    </row>
    <row r="190" customFormat="false" ht="15" hidden="false" customHeight="true" outlineLevel="0" collapsed="false">
      <c r="A190" s="17"/>
      <c r="B190" s="17"/>
      <c r="C190" s="17"/>
      <c r="D190" s="17"/>
      <c r="E190" s="17"/>
      <c r="F190" s="17"/>
      <c r="G190" s="17"/>
      <c r="H190" s="17"/>
      <c r="I190" s="17"/>
    </row>
    <row r="191" customFormat="false" ht="15" hidden="false" customHeight="true" outlineLevel="0" collapsed="false">
      <c r="A191" s="17"/>
      <c r="B191" s="17"/>
      <c r="C191" s="17"/>
      <c r="D191" s="17"/>
      <c r="E191" s="17"/>
      <c r="F191" s="17"/>
      <c r="G191" s="17"/>
      <c r="H191" s="17"/>
      <c r="I191" s="17"/>
    </row>
    <row r="192" customFormat="false" ht="15" hidden="false" customHeight="true" outlineLevel="0" collapsed="false">
      <c r="A192" s="17"/>
      <c r="B192" s="17"/>
      <c r="C192" s="17"/>
      <c r="D192" s="17"/>
      <c r="E192" s="17"/>
      <c r="F192" s="17"/>
      <c r="G192" s="17"/>
      <c r="H192" s="17"/>
      <c r="I192" s="17"/>
    </row>
    <row r="193" customFormat="false" ht="15" hidden="false" customHeight="true" outlineLevel="0" collapsed="false">
      <c r="A193" s="17"/>
      <c r="B193" s="17"/>
      <c r="C193" s="17"/>
      <c r="D193" s="17"/>
      <c r="E193" s="17"/>
      <c r="F193" s="17"/>
      <c r="G193" s="17"/>
      <c r="H193" s="17"/>
      <c r="I193" s="17"/>
    </row>
    <row r="194" customFormat="false" ht="15" hidden="false" customHeight="true" outlineLevel="0" collapsed="false">
      <c r="A194" s="17"/>
      <c r="B194" s="17"/>
      <c r="C194" s="17"/>
      <c r="D194" s="17"/>
      <c r="E194" s="17"/>
      <c r="F194" s="17"/>
      <c r="G194" s="17"/>
      <c r="H194" s="17"/>
      <c r="I194" s="17"/>
    </row>
    <row r="195" customFormat="false" ht="15" hidden="false" customHeight="true" outlineLevel="0" collapsed="false">
      <c r="A195" s="17"/>
      <c r="B195" s="17"/>
      <c r="C195" s="17"/>
      <c r="D195" s="17"/>
      <c r="E195" s="17"/>
      <c r="F195" s="17"/>
      <c r="G195" s="17"/>
      <c r="H195" s="17"/>
      <c r="I195" s="17"/>
    </row>
    <row r="196" customFormat="false" ht="15" hidden="false" customHeight="true" outlineLevel="0" collapsed="false">
      <c r="A196" s="17"/>
      <c r="B196" s="17"/>
      <c r="C196" s="17"/>
      <c r="D196" s="17"/>
      <c r="E196" s="17"/>
      <c r="F196" s="17"/>
      <c r="G196" s="17"/>
      <c r="H196" s="17"/>
      <c r="I196" s="17"/>
    </row>
    <row r="197" customFormat="false" ht="15" hidden="false" customHeight="true" outlineLevel="0" collapsed="false">
      <c r="A197" s="17"/>
      <c r="B197" s="17"/>
      <c r="C197" s="17"/>
      <c r="D197" s="17"/>
      <c r="E197" s="17"/>
      <c r="F197" s="17"/>
      <c r="G197" s="17"/>
      <c r="H197" s="17"/>
      <c r="I197" s="137"/>
    </row>
    <row r="198" customFormat="false" ht="15" hidden="false" customHeight="true" outlineLevel="0" collapsed="false">
      <c r="A198" s="17"/>
      <c r="B198" s="17"/>
      <c r="C198" s="17"/>
      <c r="D198" s="17"/>
      <c r="E198" s="17"/>
      <c r="F198" s="17"/>
      <c r="G198" s="17"/>
      <c r="H198" s="17"/>
      <c r="I198" s="17"/>
    </row>
    <row r="199" customFormat="false" ht="15" hidden="false" customHeight="true" outlineLevel="0" collapsed="false">
      <c r="A199" s="17"/>
      <c r="B199" s="17"/>
      <c r="C199" s="17"/>
      <c r="D199" s="17"/>
      <c r="E199" s="17"/>
      <c r="F199" s="17"/>
      <c r="G199" s="17"/>
      <c r="H199" s="17"/>
      <c r="I199" s="17"/>
    </row>
    <row r="200" customFormat="false" ht="15" hidden="false" customHeight="true" outlineLevel="0" collapsed="false">
      <c r="A200" s="17"/>
      <c r="B200" s="17"/>
      <c r="C200" s="17"/>
      <c r="D200" s="17"/>
      <c r="E200" s="17"/>
      <c r="F200" s="17"/>
      <c r="G200" s="17"/>
      <c r="H200" s="17"/>
      <c r="I200" s="17"/>
    </row>
    <row r="201" customFormat="false" ht="15" hidden="false" customHeight="true" outlineLevel="0" collapsed="false">
      <c r="A201" s="17"/>
      <c r="B201" s="17"/>
      <c r="C201" s="17"/>
      <c r="D201" s="17"/>
      <c r="E201" s="17"/>
      <c r="F201" s="17"/>
      <c r="G201" s="17"/>
      <c r="H201" s="17"/>
      <c r="I201" s="17"/>
    </row>
    <row r="202" customFormat="false" ht="15" hidden="false" customHeight="true" outlineLevel="0" collapsed="false">
      <c r="A202" s="17"/>
      <c r="B202" s="17"/>
      <c r="C202" s="17"/>
      <c r="D202" s="17"/>
      <c r="E202" s="17"/>
      <c r="F202" s="17"/>
      <c r="G202" s="17"/>
      <c r="H202" s="17"/>
      <c r="I202" s="17"/>
    </row>
    <row r="203" customFormat="false" ht="15" hidden="false" customHeight="true" outlineLevel="0" collapsed="false">
      <c r="A203" s="17"/>
      <c r="B203" s="17"/>
      <c r="C203" s="17"/>
      <c r="D203" s="17"/>
      <c r="E203" s="17"/>
      <c r="F203" s="17"/>
      <c r="G203" s="17"/>
      <c r="H203" s="17"/>
      <c r="I203" s="17"/>
    </row>
    <row r="204" customFormat="false" ht="15" hidden="false" customHeight="true" outlineLevel="0" collapsed="false">
      <c r="A204" s="17"/>
      <c r="B204" s="17"/>
      <c r="C204" s="17"/>
      <c r="D204" s="17"/>
      <c r="E204" s="17"/>
      <c r="F204" s="17"/>
      <c r="G204" s="17"/>
      <c r="H204" s="17"/>
      <c r="I204" s="17"/>
    </row>
    <row r="205" customFormat="false" ht="15" hidden="false" customHeight="true" outlineLevel="0" collapsed="false">
      <c r="A205" s="17"/>
      <c r="B205" s="17"/>
      <c r="C205" s="17"/>
      <c r="D205" s="17"/>
      <c r="E205" s="17"/>
      <c r="F205" s="17"/>
      <c r="G205" s="17"/>
      <c r="H205" s="17"/>
      <c r="I205" s="17"/>
    </row>
    <row r="206" customFormat="false" ht="15" hidden="false" customHeight="true" outlineLevel="0" collapsed="false">
      <c r="A206" s="17"/>
      <c r="B206" s="17"/>
      <c r="C206" s="17"/>
      <c r="D206" s="17"/>
      <c r="E206" s="17"/>
      <c r="F206" s="17"/>
      <c r="G206" s="17"/>
      <c r="H206" s="17"/>
      <c r="I206" s="17"/>
    </row>
    <row r="207" customFormat="false" ht="15" hidden="false" customHeight="true" outlineLevel="0" collapsed="false">
      <c r="A207" s="17"/>
      <c r="B207" s="17"/>
      <c r="C207" s="17"/>
      <c r="D207" s="17"/>
      <c r="E207" s="17"/>
      <c r="F207" s="17"/>
      <c r="G207" s="17"/>
      <c r="H207" s="17"/>
      <c r="I207" s="17"/>
    </row>
    <row r="208" customFormat="false" ht="15" hidden="false" customHeight="true" outlineLevel="0" collapsed="false">
      <c r="A208" s="17"/>
      <c r="B208" s="17"/>
      <c r="C208" s="17"/>
      <c r="D208" s="17"/>
      <c r="E208" s="17"/>
      <c r="F208" s="17"/>
      <c r="G208" s="17"/>
      <c r="H208" s="17"/>
      <c r="I208" s="17"/>
    </row>
    <row r="209" customFormat="false" ht="15" hidden="false" customHeight="true" outlineLevel="0" collapsed="false">
      <c r="A209" s="17"/>
      <c r="B209" s="17"/>
      <c r="C209" s="17"/>
      <c r="D209" s="17"/>
      <c r="E209" s="17"/>
      <c r="F209" s="17"/>
      <c r="G209" s="17"/>
      <c r="H209" s="17"/>
      <c r="I209" s="17"/>
    </row>
    <row r="210" customFormat="false" ht="15" hidden="false" customHeight="true" outlineLevel="0" collapsed="false">
      <c r="A210" s="19"/>
      <c r="B210" s="19"/>
      <c r="C210" s="19"/>
      <c r="D210" s="17"/>
      <c r="E210" s="17"/>
      <c r="F210" s="17"/>
      <c r="G210" s="17"/>
      <c r="H210" s="17"/>
      <c r="I210" s="17"/>
    </row>
  </sheetData>
  <mergeCells count="4">
    <mergeCell ref="A1:H1"/>
    <mergeCell ref="A32:D32"/>
    <mergeCell ref="A147:D147"/>
    <mergeCell ref="A153:D15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H140"/>
  <sheetViews>
    <sheetView showFormulas="false" showGridLines="false" showRowColHeaders="true" showZeros="true" rightToLeft="false" tabSelected="false" showOutlineSymbols="true" defaultGridColor="true" view="normal" topLeftCell="A59" colorId="64" zoomScale="80" zoomScaleNormal="80" zoomScalePageLayoutView="100" workbookViewId="0">
      <pane xSplit="1" ySplit="9" topLeftCell="B10" activePane="bottomRight" state="frozen"/>
      <selection pane="topLeft" activeCell="A59" activeCellId="0" sqref="A59"/>
      <selection pane="topRight" activeCell="B59" activeCellId="0" sqref="B59"/>
      <selection pane="bottomLeft" activeCell="A10" activeCellId="0" sqref="A10"/>
      <selection pane="bottomRight" activeCell="A29" activeCellId="0" sqref="A29"/>
    </sheetView>
  </sheetViews>
  <sheetFormatPr defaultColWidth="8.6328125" defaultRowHeight="14.25" zeroHeight="false" outlineLevelRow="0" outlineLevelCol="0"/>
  <cols>
    <col collapsed="false" customWidth="true" hidden="false" outlineLevel="0" max="1" min="1" style="15" width="60"/>
    <col collapsed="false" customWidth="true" hidden="false" outlineLevel="0" max="3" min="2" style="15" width="14"/>
    <col collapsed="false" customWidth="true" hidden="false" outlineLevel="0" max="4" min="4" style="15" width="29.27"/>
    <col collapsed="false" customWidth="true" hidden="false" outlineLevel="0" max="5" min="5" style="15" width="36.46"/>
    <col collapsed="false" customWidth="true" hidden="false" outlineLevel="0" max="8" min="6" style="15" width="14"/>
  </cols>
  <sheetData>
    <row r="1" customFormat="false" ht="18" hidden="false" customHeight="true" outlineLevel="0" collapsed="false">
      <c r="A1" s="204" t="s">
        <v>353</v>
      </c>
      <c r="B1" s="204"/>
      <c r="C1" s="204"/>
      <c r="D1" s="204"/>
      <c r="E1" s="204"/>
      <c r="F1" s="204"/>
      <c r="G1" s="204"/>
      <c r="H1" s="204"/>
    </row>
    <row r="2" customFormat="false" ht="14.25" hidden="false" customHeight="true" outlineLevel="0" collapsed="false">
      <c r="A2" s="205" t="s">
        <v>354</v>
      </c>
      <c r="B2" s="205"/>
      <c r="C2" s="205"/>
      <c r="D2" s="205"/>
      <c r="E2" s="205"/>
      <c r="F2" s="205"/>
      <c r="G2" s="205"/>
      <c r="H2" s="205"/>
    </row>
    <row r="3" customFormat="false" ht="14.25" hidden="false" customHeight="true" outlineLevel="0" collapsed="false">
      <c r="A3" s="206"/>
      <c r="B3" s="206"/>
      <c r="C3" s="206"/>
      <c r="D3" s="206"/>
      <c r="E3" s="206"/>
      <c r="F3" s="206"/>
      <c r="G3" s="206"/>
      <c r="H3" s="206"/>
    </row>
    <row r="4" customFormat="false" ht="108" hidden="false" customHeight="true" outlineLevel="0" collapsed="false">
      <c r="A4" s="143" t="s">
        <v>352</v>
      </c>
      <c r="B4" s="143"/>
      <c r="C4" s="143"/>
      <c r="D4" s="143"/>
      <c r="E4" s="143"/>
      <c r="F4" s="143"/>
      <c r="G4" s="143"/>
      <c r="H4" s="206"/>
    </row>
    <row r="5" customFormat="false" ht="14.25" hidden="false" customHeight="true" outlineLevel="0" collapsed="false">
      <c r="A5" s="206"/>
      <c r="B5" s="206"/>
      <c r="C5" s="206"/>
      <c r="D5" s="206"/>
      <c r="E5" s="206"/>
      <c r="F5" s="206"/>
      <c r="G5" s="206"/>
      <c r="H5" s="206"/>
    </row>
    <row r="6" customFormat="false" ht="14.25" hidden="false" customHeight="true" outlineLevel="0" collapsed="false">
      <c r="A6" s="207" t="s">
        <v>355</v>
      </c>
      <c r="B6" s="207"/>
      <c r="C6" s="207"/>
      <c r="D6" s="207"/>
      <c r="E6" s="207"/>
      <c r="F6" s="207"/>
      <c r="G6" s="207"/>
      <c r="H6" s="206"/>
    </row>
    <row r="7" customFormat="false" ht="14.25" hidden="false" customHeight="true" outlineLevel="0" collapsed="false">
      <c r="A7" s="47"/>
      <c r="B7" s="201"/>
      <c r="C7" s="202"/>
      <c r="D7" s="202"/>
      <c r="E7" s="201"/>
      <c r="F7" s="201"/>
      <c r="G7" s="202"/>
      <c r="H7" s="206"/>
    </row>
    <row r="8" customFormat="false" ht="14.25" hidden="false" customHeight="true" outlineLevel="0" collapsed="false">
      <c r="A8" s="47"/>
      <c r="B8" s="46" t="s">
        <v>356</v>
      </c>
      <c r="C8" s="200"/>
      <c r="D8" s="200"/>
      <c r="E8" s="200"/>
      <c r="F8" s="200"/>
      <c r="G8" s="200"/>
      <c r="H8" s="206"/>
    </row>
    <row r="9" customFormat="false" ht="14.25" hidden="false" customHeight="true" outlineLevel="0" collapsed="false">
      <c r="A9" s="46" t="s">
        <v>357</v>
      </c>
      <c r="B9" s="46" t="s">
        <v>358</v>
      </c>
      <c r="C9" s="46" t="s">
        <v>359</v>
      </c>
      <c r="D9" s="46" t="s">
        <v>360</v>
      </c>
      <c r="E9" s="46" t="s">
        <v>361</v>
      </c>
      <c r="F9" s="46" t="s">
        <v>362</v>
      </c>
      <c r="G9" s="46" t="s">
        <v>363</v>
      </c>
      <c r="H9" s="206"/>
    </row>
    <row r="10" customFormat="false" ht="14.25" hidden="false" customHeight="true" outlineLevel="0" collapsed="false">
      <c r="A10" s="35" t="s">
        <v>364</v>
      </c>
      <c r="B10" s="93" t="n">
        <v>0</v>
      </c>
      <c r="C10" s="93" t="n">
        <v>800</v>
      </c>
      <c r="D10" s="208" t="n">
        <v>42036</v>
      </c>
      <c r="E10" s="208" t="n">
        <v>45689</v>
      </c>
      <c r="F10" s="93" t="n">
        <v>0</v>
      </c>
      <c r="G10" s="93" t="n">
        <v>801</v>
      </c>
      <c r="H10" s="206"/>
    </row>
    <row r="11" customFormat="false" ht="14.25" hidden="false" customHeight="true" outlineLevel="0" collapsed="false">
      <c r="A11" s="35" t="s">
        <v>365</v>
      </c>
      <c r="B11" s="93" t="n">
        <v>0</v>
      </c>
      <c r="C11" s="93" t="n">
        <v>487</v>
      </c>
      <c r="D11" s="208" t="n">
        <v>43922</v>
      </c>
      <c r="E11" s="208" t="n">
        <v>45809</v>
      </c>
      <c r="F11" s="93" t="n">
        <v>0</v>
      </c>
      <c r="G11" s="93" t="n">
        <v>487</v>
      </c>
      <c r="H11" s="206"/>
    </row>
    <row r="12" customFormat="false" ht="14.25" hidden="false" customHeight="true" outlineLevel="0" collapsed="false">
      <c r="A12" s="35" t="s">
        <v>366</v>
      </c>
      <c r="B12" s="93" t="n">
        <v>0</v>
      </c>
      <c r="C12" s="93" t="n">
        <v>500</v>
      </c>
      <c r="D12" s="208" t="n">
        <v>43922</v>
      </c>
      <c r="E12" s="208" t="n">
        <v>45809</v>
      </c>
      <c r="F12" s="93" t="n">
        <v>0</v>
      </c>
      <c r="G12" s="93" t="n">
        <v>497</v>
      </c>
      <c r="H12" s="206"/>
    </row>
    <row r="13" customFormat="false" ht="14.25" hidden="false" customHeight="true" outlineLevel="0" collapsed="false">
      <c r="A13" s="35" t="s">
        <v>367</v>
      </c>
      <c r="B13" s="93" t="n">
        <v>1000</v>
      </c>
      <c r="C13" s="93" t="n">
        <v>1000</v>
      </c>
      <c r="D13" s="208" t="n">
        <v>42644</v>
      </c>
      <c r="E13" s="208" t="n">
        <v>46327</v>
      </c>
      <c r="F13" s="93" t="n">
        <v>1006</v>
      </c>
      <c r="G13" s="93" t="n">
        <v>998</v>
      </c>
      <c r="H13" s="206"/>
    </row>
    <row r="14" customFormat="false" ht="14.25" hidden="false" customHeight="true" outlineLevel="0" collapsed="false">
      <c r="A14" s="35" t="s">
        <v>366</v>
      </c>
      <c r="B14" s="93" t="n">
        <v>1526</v>
      </c>
      <c r="C14" s="93" t="n">
        <v>1346</v>
      </c>
      <c r="D14" s="208" t="n">
        <v>42856</v>
      </c>
      <c r="E14" s="208" t="n">
        <v>46508</v>
      </c>
      <c r="F14" s="93" t="n">
        <v>1550</v>
      </c>
      <c r="G14" s="93" t="n">
        <v>1375</v>
      </c>
      <c r="H14" s="206"/>
    </row>
    <row r="15" customFormat="false" ht="14.25" hidden="false" customHeight="true" outlineLevel="0" collapsed="false">
      <c r="A15" s="35" t="s">
        <v>368</v>
      </c>
      <c r="B15" s="93" t="n">
        <v>1600</v>
      </c>
      <c r="C15" s="93" t="n">
        <v>1600</v>
      </c>
      <c r="D15" s="208" t="n">
        <v>43009</v>
      </c>
      <c r="E15" s="208" t="n">
        <v>46844</v>
      </c>
      <c r="F15" s="93" t="n">
        <v>1634</v>
      </c>
      <c r="G15" s="93" t="n">
        <v>1607</v>
      </c>
      <c r="H15" s="206"/>
    </row>
    <row r="16" customFormat="false" ht="14.25" hidden="false" customHeight="true" outlineLevel="0" collapsed="false">
      <c r="A16" s="35" t="s">
        <v>364</v>
      </c>
      <c r="B16" s="93" t="n">
        <v>1900</v>
      </c>
      <c r="C16" s="93" t="n">
        <v>1900</v>
      </c>
      <c r="D16" s="208" t="n">
        <v>43191</v>
      </c>
      <c r="E16" s="208" t="n">
        <v>47058</v>
      </c>
      <c r="F16" s="95" t="n">
        <v>1998</v>
      </c>
      <c r="G16" s="93" t="n">
        <v>1970</v>
      </c>
      <c r="H16" s="206"/>
    </row>
    <row r="17" customFormat="false" ht="14.25" hidden="false" customHeight="true" outlineLevel="0" collapsed="false">
      <c r="A17" s="35" t="s">
        <v>369</v>
      </c>
      <c r="B17" s="93" t="n">
        <v>1292</v>
      </c>
      <c r="C17" s="93" t="n">
        <v>1139</v>
      </c>
      <c r="D17" s="208" t="n">
        <v>43374</v>
      </c>
      <c r="E17" s="208" t="n">
        <v>47239</v>
      </c>
      <c r="F17" s="93" t="n">
        <v>1363</v>
      </c>
      <c r="G17" s="93" t="n">
        <v>1220</v>
      </c>
      <c r="H17" s="206"/>
    </row>
    <row r="18" customFormat="false" ht="14.25" hidden="false" customHeight="true" outlineLevel="0" collapsed="false">
      <c r="A18" s="35" t="s">
        <v>370</v>
      </c>
      <c r="B18" s="93" t="n">
        <v>800</v>
      </c>
      <c r="C18" s="93" t="n">
        <v>800</v>
      </c>
      <c r="D18" s="208" t="n">
        <v>43374</v>
      </c>
      <c r="E18" s="208" t="n">
        <v>47239</v>
      </c>
      <c r="F18" s="93" t="n">
        <v>857</v>
      </c>
      <c r="G18" s="93" t="n">
        <v>848</v>
      </c>
      <c r="H18" s="206"/>
    </row>
    <row r="19" customFormat="false" ht="14.25" hidden="false" customHeight="true" outlineLevel="0" collapsed="false">
      <c r="A19" s="35" t="s">
        <v>371</v>
      </c>
      <c r="B19" s="93" t="n">
        <v>1409</v>
      </c>
      <c r="C19" s="93" t="n">
        <v>1242</v>
      </c>
      <c r="D19" s="208" t="n">
        <v>43556</v>
      </c>
      <c r="E19" s="208" t="n">
        <v>47423</v>
      </c>
      <c r="F19" s="93" t="n">
        <v>1455</v>
      </c>
      <c r="G19" s="93" t="n">
        <v>1293</v>
      </c>
      <c r="H19" s="206"/>
    </row>
    <row r="20" customFormat="false" ht="14.25" hidden="false" customHeight="true" outlineLevel="0" collapsed="false">
      <c r="A20" s="35" t="s">
        <v>372</v>
      </c>
      <c r="B20" s="93" t="n">
        <v>900</v>
      </c>
      <c r="C20" s="93" t="n">
        <v>900</v>
      </c>
      <c r="D20" s="208" t="n">
        <v>43556</v>
      </c>
      <c r="E20" s="208" t="n">
        <v>47423</v>
      </c>
      <c r="F20" s="93" t="n">
        <v>939</v>
      </c>
      <c r="G20" s="93" t="n">
        <v>918</v>
      </c>
      <c r="H20" s="206"/>
    </row>
    <row r="21" customFormat="false" ht="14.25" hidden="false" customHeight="true" outlineLevel="0" collapsed="false">
      <c r="A21" s="35" t="s">
        <v>366</v>
      </c>
      <c r="B21" s="93" t="n">
        <v>1292</v>
      </c>
      <c r="C21" s="93" t="n">
        <v>1139</v>
      </c>
      <c r="D21" s="208" t="n">
        <v>43739</v>
      </c>
      <c r="E21" s="208" t="n">
        <v>47635</v>
      </c>
      <c r="F21" s="93" t="n">
        <v>1322</v>
      </c>
      <c r="G21" s="93" t="n">
        <v>1174</v>
      </c>
      <c r="H21" s="206"/>
    </row>
    <row r="22" customFormat="false" ht="14.25" hidden="false" customHeight="true" outlineLevel="0" collapsed="false">
      <c r="A22" s="35" t="s">
        <v>368</v>
      </c>
      <c r="B22" s="93" t="n">
        <v>1000</v>
      </c>
      <c r="C22" s="93" t="n">
        <v>1000</v>
      </c>
      <c r="D22" s="208" t="n">
        <v>43739</v>
      </c>
      <c r="E22" s="208" t="n">
        <v>47635</v>
      </c>
      <c r="F22" s="93" t="n">
        <v>1025</v>
      </c>
      <c r="G22" s="93" t="n">
        <v>996</v>
      </c>
      <c r="H22" s="206"/>
    </row>
    <row r="23" customFormat="false" ht="14.25" hidden="false" customHeight="true" outlineLevel="0" collapsed="false">
      <c r="A23" s="35" t="s">
        <v>373</v>
      </c>
      <c r="B23" s="93" t="n">
        <v>1000</v>
      </c>
      <c r="C23" s="93" t="n">
        <v>1000</v>
      </c>
      <c r="D23" s="208" t="n">
        <v>45505</v>
      </c>
      <c r="E23" s="208" t="n">
        <v>49157</v>
      </c>
      <c r="F23" s="93" t="n">
        <v>1025</v>
      </c>
      <c r="G23" s="93" t="n">
        <v>982</v>
      </c>
      <c r="H23" s="206"/>
    </row>
    <row r="24" customFormat="false" ht="14.25" hidden="false" customHeight="true" outlineLevel="0" collapsed="false">
      <c r="A24" s="35" t="s">
        <v>374</v>
      </c>
      <c r="B24" s="93" t="n">
        <v>800</v>
      </c>
      <c r="C24" s="93" t="n">
        <v>800</v>
      </c>
      <c r="D24" s="208" t="n">
        <v>45505</v>
      </c>
      <c r="E24" s="208" t="n">
        <v>56462</v>
      </c>
      <c r="F24" s="93" t="n">
        <v>777</v>
      </c>
      <c r="G24" s="93" t="n">
        <v>782</v>
      </c>
      <c r="H24" s="206"/>
    </row>
    <row r="25" customFormat="false" ht="14.25" hidden="false" customHeight="true" outlineLevel="0" collapsed="false">
      <c r="A25" s="46" t="s">
        <v>348</v>
      </c>
      <c r="B25" s="136" t="n">
        <f aca="false">SUM(B10:B24)</f>
        <v>14519</v>
      </c>
      <c r="C25" s="136" t="n">
        <f aca="false">SUM(C10:C24)</f>
        <v>15653</v>
      </c>
      <c r="D25" s="113"/>
      <c r="E25" s="113"/>
      <c r="F25" s="136" t="n">
        <f aca="false">SUM(F10:F24)</f>
        <v>14951</v>
      </c>
      <c r="G25" s="136" t="n">
        <f aca="false">SUM(G10:G24)</f>
        <v>15948</v>
      </c>
      <c r="H25" s="206"/>
    </row>
    <row r="26" customFormat="false" ht="14.25" hidden="false" customHeight="true" outlineLevel="0" collapsed="false">
      <c r="A26" s="17"/>
      <c r="B26" s="17"/>
      <c r="C26" s="17"/>
      <c r="D26" s="17"/>
      <c r="E26" s="17"/>
      <c r="F26" s="17"/>
      <c r="G26" s="17"/>
      <c r="H26" s="206"/>
    </row>
    <row r="27" customFormat="false" ht="29.25" hidden="false" customHeight="true" outlineLevel="0" collapsed="false">
      <c r="A27" s="143" t="s">
        <v>375</v>
      </c>
      <c r="B27" s="143"/>
      <c r="C27" s="143"/>
      <c r="D27" s="143"/>
      <c r="E27" s="143"/>
      <c r="F27" s="143"/>
      <c r="G27" s="143"/>
      <c r="H27" s="206"/>
    </row>
    <row r="28" customFormat="false" ht="27" hidden="false" customHeight="true" outlineLevel="0" collapsed="false">
      <c r="A28" s="143" t="s">
        <v>376</v>
      </c>
      <c r="B28" s="143"/>
      <c r="C28" s="143"/>
      <c r="D28" s="143"/>
      <c r="E28" s="143"/>
      <c r="F28" s="143"/>
      <c r="G28" s="143"/>
      <c r="H28" s="206"/>
    </row>
    <row r="29" customFormat="false" ht="66.75" hidden="false" customHeight="true" outlineLevel="0" collapsed="false">
      <c r="A29" s="143" t="s">
        <v>377</v>
      </c>
      <c r="B29" s="143"/>
      <c r="C29" s="143"/>
      <c r="D29" s="143"/>
      <c r="E29" s="143"/>
      <c r="F29" s="143"/>
      <c r="G29" s="143"/>
      <c r="H29" s="206"/>
    </row>
    <row r="30" customFormat="false" ht="14.25" hidden="false" customHeight="true" outlineLevel="0" collapsed="false">
      <c r="A30" s="206"/>
      <c r="B30" s="206"/>
      <c r="C30" s="206"/>
      <c r="D30" s="206"/>
      <c r="E30" s="206"/>
      <c r="F30" s="206"/>
      <c r="G30" s="206"/>
      <c r="H30" s="206"/>
    </row>
    <row r="31" customFormat="false" ht="14.25" hidden="false" customHeight="true" outlineLevel="0" collapsed="false">
      <c r="A31" s="17"/>
      <c r="B31" s="17"/>
      <c r="C31" s="17"/>
      <c r="D31" s="17"/>
      <c r="E31" s="17"/>
      <c r="F31" s="17"/>
      <c r="G31" s="17"/>
      <c r="H31" s="17"/>
    </row>
    <row r="32" customFormat="false" ht="14.25" hidden="false" customHeight="true" outlineLevel="0" collapsed="false">
      <c r="A32" s="46" t="s">
        <v>378</v>
      </c>
      <c r="B32" s="17"/>
      <c r="C32" s="17"/>
      <c r="D32" s="209" t="n">
        <v>1.176</v>
      </c>
      <c r="E32" s="173" t="s">
        <v>379</v>
      </c>
      <c r="F32" s="17"/>
      <c r="G32" s="17"/>
      <c r="H32" s="17"/>
    </row>
    <row r="33" customFormat="false" ht="14.25" hidden="false" customHeight="true" outlineLevel="0" collapsed="false">
      <c r="A33" s="17"/>
      <c r="B33" s="17"/>
      <c r="C33" s="17"/>
      <c r="D33" s="17"/>
      <c r="E33" s="17"/>
      <c r="F33" s="17"/>
      <c r="G33" s="17"/>
      <c r="H33" s="17"/>
    </row>
    <row r="34" customFormat="false" ht="84" hidden="false" customHeight="true" outlineLevel="0" collapsed="false">
      <c r="A34" s="210" t="s">
        <v>380</v>
      </c>
      <c r="B34" s="210" t="s">
        <v>381</v>
      </c>
      <c r="C34" s="210" t="s">
        <v>382</v>
      </c>
      <c r="D34" s="211" t="s">
        <v>383</v>
      </c>
      <c r="E34" s="210" t="s">
        <v>384</v>
      </c>
      <c r="F34" s="211" t="s">
        <v>385</v>
      </c>
      <c r="G34" s="211" t="s">
        <v>386</v>
      </c>
      <c r="H34" s="211" t="s">
        <v>387</v>
      </c>
    </row>
    <row r="35" customFormat="false" ht="14.25" hidden="false" customHeight="true" outlineLevel="0" collapsed="false">
      <c r="A35" s="212" t="s">
        <v>367</v>
      </c>
      <c r="B35" s="212" t="s">
        <v>388</v>
      </c>
      <c r="C35" s="213" t="n">
        <v>0.04375</v>
      </c>
      <c r="D35" s="214" t="n">
        <v>1000000</v>
      </c>
      <c r="E35" s="212" t="s">
        <v>389</v>
      </c>
      <c r="F35" s="212" t="s">
        <v>390</v>
      </c>
      <c r="G35" s="215" t="n">
        <f aca="false">IF(B35="EUR",D35*1.176,D35)</f>
        <v>1000000</v>
      </c>
      <c r="H35" s="214" t="n">
        <v>1006000</v>
      </c>
    </row>
    <row r="36" customFormat="false" ht="14.25" hidden="false" customHeight="true" outlineLevel="0" collapsed="false">
      <c r="A36" s="212" t="s">
        <v>366</v>
      </c>
      <c r="B36" s="212" t="s">
        <v>391</v>
      </c>
      <c r="C36" s="213" t="n">
        <v>0.03625</v>
      </c>
      <c r="D36" s="214" t="n">
        <v>1300000</v>
      </c>
      <c r="E36" s="212" t="s">
        <v>392</v>
      </c>
      <c r="F36" s="212" t="s">
        <v>393</v>
      </c>
      <c r="G36" s="215" t="n">
        <f aca="false">IF(B36="EUR",D36*1.176,D36)</f>
        <v>1528800</v>
      </c>
      <c r="H36" s="214" t="n">
        <v>1550000</v>
      </c>
    </row>
    <row r="37" customFormat="false" ht="14.25" hidden="false" customHeight="true" outlineLevel="0" collapsed="false">
      <c r="A37" s="212" t="s">
        <v>368</v>
      </c>
      <c r="B37" s="212" t="s">
        <v>388</v>
      </c>
      <c r="C37" s="213" t="n">
        <v>0.04875</v>
      </c>
      <c r="D37" s="214" t="n">
        <v>1600000</v>
      </c>
      <c r="E37" s="212" t="s">
        <v>394</v>
      </c>
      <c r="F37" s="212" t="s">
        <v>395</v>
      </c>
      <c r="G37" s="215" t="n">
        <f aca="false">IF(B37="EUR",D37*1.176,D37)</f>
        <v>1600000</v>
      </c>
      <c r="H37" s="214" t="n">
        <v>1634000</v>
      </c>
    </row>
    <row r="38" customFormat="false" ht="14.25" hidden="false" customHeight="true" outlineLevel="0" collapsed="false">
      <c r="A38" s="212" t="s">
        <v>364</v>
      </c>
      <c r="B38" s="212" t="s">
        <v>388</v>
      </c>
      <c r="C38" s="213" t="n">
        <v>0.05875</v>
      </c>
      <c r="D38" s="214" t="n">
        <v>1900000</v>
      </c>
      <c r="E38" s="212" t="s">
        <v>396</v>
      </c>
      <c r="F38" s="212" t="s">
        <v>395</v>
      </c>
      <c r="G38" s="215" t="n">
        <f aca="false">IF(B38="EUR",D38*1.176,D38)</f>
        <v>1900000</v>
      </c>
      <c r="H38" s="214" t="n">
        <v>1998000</v>
      </c>
    </row>
    <row r="39" customFormat="false" ht="14.25" hidden="false" customHeight="true" outlineLevel="0" collapsed="false">
      <c r="A39" s="212" t="s">
        <v>370</v>
      </c>
      <c r="B39" s="212" t="s">
        <v>388</v>
      </c>
      <c r="C39" s="213" t="n">
        <v>0.06375</v>
      </c>
      <c r="D39" s="214" t="n">
        <v>800000</v>
      </c>
      <c r="E39" s="212" t="s">
        <v>397</v>
      </c>
      <c r="F39" s="212" t="s">
        <v>398</v>
      </c>
      <c r="G39" s="215" t="n">
        <f aca="false">IF(B39="EUR",D39*1.176,D39)</f>
        <v>800000</v>
      </c>
      <c r="H39" s="214" t="n">
        <v>857000</v>
      </c>
    </row>
    <row r="40" customFormat="false" ht="14.25" hidden="false" customHeight="true" outlineLevel="0" collapsed="false">
      <c r="A40" s="212" t="s">
        <v>369</v>
      </c>
      <c r="B40" s="212" t="s">
        <v>391</v>
      </c>
      <c r="C40" s="213" t="n">
        <v>0.04625</v>
      </c>
      <c r="D40" s="214" t="n">
        <v>1100000</v>
      </c>
      <c r="E40" s="212" t="s">
        <v>397</v>
      </c>
      <c r="F40" s="212" t="s">
        <v>398</v>
      </c>
      <c r="G40" s="215" t="n">
        <f aca="false">IF(B40="EUR",D40*1.176,D40)</f>
        <v>1293600</v>
      </c>
      <c r="H40" s="214" t="n">
        <v>1363000</v>
      </c>
    </row>
    <row r="41" customFormat="false" ht="14.25" hidden="false" customHeight="true" outlineLevel="0" collapsed="false">
      <c r="A41" s="212" t="s">
        <v>371</v>
      </c>
      <c r="B41" s="212" t="s">
        <v>391</v>
      </c>
      <c r="C41" s="213" t="n">
        <v>0.03875</v>
      </c>
      <c r="D41" s="214" t="n">
        <v>1200000</v>
      </c>
      <c r="E41" s="212" t="s">
        <v>399</v>
      </c>
      <c r="F41" s="212" t="s">
        <v>398</v>
      </c>
      <c r="G41" s="215" t="n">
        <f aca="false">IF(B41="EUR",D41*1.176,D41)</f>
        <v>1411200</v>
      </c>
      <c r="H41" s="214" t="n">
        <v>1455000</v>
      </c>
    </row>
    <row r="42" customFormat="false" ht="14.25" hidden="false" customHeight="true" outlineLevel="0" collapsed="false">
      <c r="A42" s="212" t="s">
        <v>372</v>
      </c>
      <c r="B42" s="212" t="s">
        <v>388</v>
      </c>
      <c r="C42" s="213" t="n">
        <v>0.05375</v>
      </c>
      <c r="D42" s="214" t="n">
        <v>900000</v>
      </c>
      <c r="E42" s="212" t="s">
        <v>399</v>
      </c>
      <c r="F42" s="212" t="s">
        <v>398</v>
      </c>
      <c r="G42" s="215" t="n">
        <f aca="false">IF(B42="EUR",D42*1.176,D42)</f>
        <v>900000</v>
      </c>
      <c r="H42" s="214" t="n">
        <v>939000</v>
      </c>
    </row>
    <row r="43" customFormat="false" ht="14.25" hidden="false" customHeight="true" outlineLevel="0" collapsed="false">
      <c r="A43" s="212" t="s">
        <v>366</v>
      </c>
      <c r="B43" s="212" t="s">
        <v>391</v>
      </c>
      <c r="C43" s="213" t="n">
        <v>0.03625</v>
      </c>
      <c r="D43" s="214" t="n">
        <v>1100000</v>
      </c>
      <c r="E43" s="212" t="s">
        <v>400</v>
      </c>
      <c r="F43" s="212" t="s">
        <v>401</v>
      </c>
      <c r="G43" s="215" t="n">
        <f aca="false">IF(B43="EUR",D43*1.176,D43)</f>
        <v>1293600</v>
      </c>
      <c r="H43" s="214" t="n">
        <v>1322000</v>
      </c>
    </row>
    <row r="44" customFormat="false" ht="14.25" hidden="false" customHeight="true" outlineLevel="0" collapsed="false">
      <c r="A44" s="212" t="s">
        <v>368</v>
      </c>
      <c r="B44" s="212" t="s">
        <v>388</v>
      </c>
      <c r="C44" s="213" t="n">
        <v>0.04875</v>
      </c>
      <c r="D44" s="214" t="n">
        <v>1000000</v>
      </c>
      <c r="E44" s="212" t="s">
        <v>400</v>
      </c>
      <c r="F44" s="212" t="s">
        <v>401</v>
      </c>
      <c r="G44" s="215" t="n">
        <f aca="false">IF(B44="EUR",D44*1.176,D44)</f>
        <v>1000000</v>
      </c>
      <c r="H44" s="214" t="n">
        <v>1025000</v>
      </c>
    </row>
    <row r="45" customFormat="false" ht="14.25" hidden="false" customHeight="true" outlineLevel="0" collapsed="false">
      <c r="A45" s="212" t="s">
        <v>402</v>
      </c>
      <c r="B45" s="212" t="s">
        <v>388</v>
      </c>
      <c r="C45" s="213" t="n">
        <v>0.049</v>
      </c>
      <c r="D45" s="214" t="n">
        <v>1000000</v>
      </c>
      <c r="E45" s="212" t="s">
        <v>403</v>
      </c>
      <c r="F45" s="212" t="s">
        <v>404</v>
      </c>
      <c r="G45" s="215" t="n">
        <f aca="false">IF(B45="EUR",D45*1.176,D45)</f>
        <v>1000000</v>
      </c>
      <c r="H45" s="214" t="n">
        <v>1025000</v>
      </c>
    </row>
    <row r="46" customFormat="false" ht="14.25" hidden="false" customHeight="true" outlineLevel="0" collapsed="false">
      <c r="A46" s="212" t="s">
        <v>405</v>
      </c>
      <c r="B46" s="212" t="s">
        <v>388</v>
      </c>
      <c r="C46" s="213" t="n">
        <v>0.054</v>
      </c>
      <c r="D46" s="214" t="n">
        <v>800000</v>
      </c>
      <c r="E46" s="212" t="s">
        <v>406</v>
      </c>
      <c r="F46" s="212" t="s">
        <v>407</v>
      </c>
      <c r="G46" s="215" t="n">
        <f aca="false">IF(B46="EUR",D46*1.176,D46)</f>
        <v>800000</v>
      </c>
      <c r="H46" s="214" t="n">
        <v>777000</v>
      </c>
    </row>
    <row r="47" customFormat="false" ht="14.25" hidden="false" customHeight="true" outlineLevel="0" collapsed="false">
      <c r="A47" s="216" t="s">
        <v>408</v>
      </c>
      <c r="B47" s="217"/>
      <c r="C47" s="217"/>
      <c r="D47" s="218" t="n">
        <f aca="false">SUMIF(B35:B46,"USD",D35:D46)</f>
        <v>9000000</v>
      </c>
      <c r="E47" s="217"/>
      <c r="F47" s="217"/>
      <c r="G47" s="218" t="n">
        <f aca="false">SUM(G35:G46)</f>
        <v>14527200</v>
      </c>
      <c r="H47" s="218" t="n">
        <f aca="false">SUM(H35:H46)</f>
        <v>14951000</v>
      </c>
    </row>
    <row r="48" customFormat="false" ht="14.25" hidden="false" customHeight="true" outlineLevel="0" collapsed="false">
      <c r="A48" s="173" t="s">
        <v>409</v>
      </c>
      <c r="B48" s="17"/>
      <c r="C48" s="17"/>
      <c r="D48" s="219" t="n">
        <f aca="false">SUMIF(B35:B46,"EUR",D35:D46)</f>
        <v>4700000</v>
      </c>
      <c r="E48" s="17"/>
      <c r="F48" s="17"/>
      <c r="G48" s="17"/>
      <c r="H48" s="17"/>
    </row>
    <row r="49" customFormat="false" ht="14.25" hidden="false" customHeight="true" outlineLevel="0" collapsed="false">
      <c r="A49" s="17"/>
      <c r="B49" s="17"/>
      <c r="C49" s="17"/>
      <c r="D49" s="17"/>
      <c r="E49" s="17"/>
      <c r="F49" s="17"/>
      <c r="G49" s="17"/>
      <c r="H49" s="17"/>
    </row>
    <row r="50" customFormat="false" ht="14.25" hidden="false" customHeight="true" outlineLevel="0" collapsed="false">
      <c r="A50" s="46" t="s">
        <v>410</v>
      </c>
      <c r="B50" s="17"/>
      <c r="C50" s="17"/>
      <c r="D50" s="17"/>
      <c r="E50" s="17"/>
      <c r="F50" s="17"/>
      <c r="G50" s="17"/>
      <c r="H50" s="17"/>
    </row>
    <row r="51" customFormat="false" ht="14.25" hidden="false" customHeight="true" outlineLevel="0" collapsed="false">
      <c r="A51" s="35" t="s">
        <v>411</v>
      </c>
      <c r="B51" s="17"/>
      <c r="C51" s="17"/>
      <c r="D51" s="220" t="n">
        <v>998865</v>
      </c>
      <c r="E51" s="173" t="s">
        <v>412</v>
      </c>
      <c r="F51" s="17"/>
      <c r="G51" s="17"/>
      <c r="H51" s="17"/>
    </row>
    <row r="52" customFormat="false" ht="14.25" hidden="false" customHeight="true" outlineLevel="0" collapsed="false">
      <c r="A52" s="35" t="s">
        <v>413</v>
      </c>
      <c r="B52" s="17"/>
      <c r="C52" s="17"/>
      <c r="D52" s="220" t="n">
        <v>13463971</v>
      </c>
      <c r="E52" s="17"/>
      <c r="F52" s="17"/>
      <c r="G52" s="17"/>
      <c r="H52" s="17"/>
    </row>
    <row r="53" customFormat="false" ht="14.25" hidden="false" customHeight="true" outlineLevel="0" collapsed="false">
      <c r="A53" s="35" t="s">
        <v>414</v>
      </c>
      <c r="B53" s="17"/>
      <c r="C53" s="17"/>
      <c r="D53" s="221" t="n">
        <f aca="false">D51+D52</f>
        <v>14462836</v>
      </c>
      <c r="E53" s="17"/>
      <c r="F53" s="17"/>
      <c r="G53" s="17"/>
      <c r="H53" s="17"/>
    </row>
    <row r="54" customFormat="false" ht="14.25" hidden="false" customHeight="true" outlineLevel="0" collapsed="false">
      <c r="A54" s="35" t="s">
        <v>415</v>
      </c>
      <c r="B54" s="17"/>
      <c r="C54" s="17"/>
      <c r="D54" s="220" t="n">
        <v>14951000</v>
      </c>
      <c r="E54" s="17"/>
      <c r="F54" s="17"/>
      <c r="G54" s="17"/>
      <c r="H54" s="17"/>
    </row>
    <row r="55" customFormat="false" ht="14.25" hidden="false" customHeight="true" outlineLevel="0" collapsed="false">
      <c r="A55" s="35" t="s">
        <v>416</v>
      </c>
      <c r="B55" s="17"/>
      <c r="C55" s="17"/>
      <c r="D55" s="222" t="n">
        <v>0.0476</v>
      </c>
      <c r="E55" s="173" t="s">
        <v>417</v>
      </c>
      <c r="F55" s="17"/>
      <c r="G55" s="17"/>
      <c r="H55" s="17"/>
    </row>
    <row r="56" customFormat="false" ht="14.25" hidden="false" customHeight="true" outlineLevel="0" collapsed="false">
      <c r="A56" s="17"/>
      <c r="B56" s="17"/>
      <c r="C56" s="17"/>
      <c r="D56" s="17"/>
      <c r="E56" s="17"/>
      <c r="F56" s="17"/>
      <c r="G56" s="17"/>
      <c r="H56" s="17"/>
    </row>
    <row r="57" customFormat="false" ht="14.25" hidden="false" customHeight="true" outlineLevel="0" collapsed="false">
      <c r="A57" s="17"/>
      <c r="B57" s="17"/>
      <c r="C57" s="17"/>
      <c r="D57" s="17"/>
      <c r="E57" s="17"/>
      <c r="F57" s="17"/>
      <c r="G57" s="17"/>
      <c r="H57" s="17"/>
    </row>
    <row r="58" customFormat="false" ht="18" hidden="false" customHeight="true" outlineLevel="0" collapsed="false">
      <c r="A58" s="223" t="s">
        <v>418</v>
      </c>
      <c r="B58" s="223"/>
      <c r="C58" s="223"/>
      <c r="D58" s="223"/>
      <c r="E58" s="17"/>
      <c r="F58" s="17"/>
      <c r="G58" s="17"/>
      <c r="H58" s="17"/>
    </row>
    <row r="59" customFormat="false" ht="14.25" hidden="false" customHeight="true" outlineLevel="0" collapsed="false">
      <c r="A59" s="224" t="s">
        <v>419</v>
      </c>
      <c r="B59" s="224"/>
      <c r="C59" s="224"/>
      <c r="D59" s="224"/>
      <c r="E59" s="17"/>
      <c r="F59" s="17"/>
      <c r="G59" s="17"/>
      <c r="H59" s="17"/>
    </row>
    <row r="60" customFormat="false" ht="14.25" hidden="false" customHeight="true" outlineLevel="0" collapsed="false">
      <c r="A60" s="17"/>
      <c r="B60" s="17"/>
      <c r="C60" s="17"/>
      <c r="D60" s="17"/>
      <c r="E60" s="17"/>
      <c r="F60" s="17"/>
      <c r="G60" s="17"/>
      <c r="H60" s="17"/>
    </row>
    <row r="61" customFormat="false" ht="27.75" hidden="false" customHeight="true" outlineLevel="0" collapsed="false">
      <c r="A61" s="210" t="s">
        <v>420</v>
      </c>
      <c r="B61" s="210" t="s">
        <v>421</v>
      </c>
      <c r="C61" s="210" t="s">
        <v>422</v>
      </c>
      <c r="D61" s="210" t="s">
        <v>423</v>
      </c>
      <c r="E61" s="17"/>
      <c r="F61" s="17"/>
      <c r="G61" s="17"/>
      <c r="H61" s="17"/>
    </row>
    <row r="62" customFormat="false" ht="14.25" hidden="false" customHeight="true" outlineLevel="0" collapsed="false">
      <c r="A62" s="212" t="s">
        <v>424</v>
      </c>
      <c r="B62" s="214" t="n">
        <v>998865</v>
      </c>
      <c r="C62" s="214" t="n">
        <v>1784453</v>
      </c>
      <c r="D62" s="225" t="s">
        <v>425</v>
      </c>
      <c r="E62" s="17"/>
      <c r="F62" s="17"/>
      <c r="G62" s="17"/>
      <c r="H62" s="17"/>
    </row>
    <row r="63" customFormat="false" ht="14.25" hidden="false" customHeight="true" outlineLevel="0" collapsed="false">
      <c r="A63" s="212" t="s">
        <v>426</v>
      </c>
      <c r="B63" s="214" t="n">
        <v>13463971</v>
      </c>
      <c r="C63" s="214" t="n">
        <v>13798351</v>
      </c>
      <c r="D63" s="225" t="s">
        <v>427</v>
      </c>
      <c r="E63" s="17"/>
      <c r="F63" s="17"/>
      <c r="G63" s="17"/>
      <c r="H63" s="17"/>
    </row>
    <row r="64" customFormat="false" ht="14.25" hidden="false" customHeight="true" outlineLevel="0" collapsed="false">
      <c r="A64" s="216" t="s">
        <v>414</v>
      </c>
      <c r="B64" s="218" t="n">
        <f aca="false">SUM(B62:B63)</f>
        <v>14462836</v>
      </c>
      <c r="C64" s="218" t="n">
        <f aca="false">SUM(C62:C63)</f>
        <v>15582804</v>
      </c>
      <c r="D64" s="217"/>
      <c r="E64" s="17"/>
      <c r="F64" s="17"/>
      <c r="G64" s="17"/>
      <c r="H64" s="17"/>
    </row>
    <row r="65" customFormat="false" ht="14.25" hidden="false" customHeight="true" outlineLevel="0" collapsed="false">
      <c r="A65" s="17"/>
      <c r="B65" s="17"/>
      <c r="C65" s="17"/>
      <c r="D65" s="17"/>
      <c r="E65" s="17"/>
      <c r="F65" s="17"/>
      <c r="G65" s="17"/>
      <c r="H65" s="17"/>
    </row>
    <row r="66" customFormat="false" ht="14.25" hidden="false" customHeight="true" outlineLevel="0" collapsed="false">
      <c r="A66" s="35" t="s">
        <v>428</v>
      </c>
      <c r="B66" s="193" t="n">
        <f aca="false">B62/B64</f>
        <v>0.0690642554475485</v>
      </c>
      <c r="C66" s="193" t="n">
        <f aca="false">C62/C64</f>
        <v>0.114514242751176</v>
      </c>
      <c r="D66" s="17"/>
      <c r="E66" s="17"/>
      <c r="F66" s="17"/>
      <c r="G66" s="17"/>
      <c r="H66" s="17"/>
    </row>
    <row r="67" customFormat="false" ht="14.25" hidden="false" customHeight="true" outlineLevel="0" collapsed="false">
      <c r="A67" s="35" t="s">
        <v>429</v>
      </c>
      <c r="B67" s="193" t="n">
        <f aca="false">B63/B64</f>
        <v>0.930935744552452</v>
      </c>
      <c r="C67" s="193" t="n">
        <f aca="false">C63/C64</f>
        <v>0.885485757248824</v>
      </c>
      <c r="D67" s="17"/>
      <c r="E67" s="17"/>
      <c r="F67" s="17"/>
      <c r="G67" s="17"/>
      <c r="H67" s="17"/>
    </row>
    <row r="68" customFormat="false" ht="14.25" hidden="false" customHeight="true" outlineLevel="0" collapsed="false">
      <c r="A68" s="17"/>
      <c r="B68" s="17"/>
      <c r="C68" s="17"/>
      <c r="D68" s="17"/>
      <c r="E68" s="17"/>
      <c r="F68" s="17"/>
      <c r="G68" s="17"/>
      <c r="H68" s="17"/>
    </row>
    <row r="69" customFormat="false" ht="14.25" hidden="false" customHeight="true" outlineLevel="0" collapsed="false">
      <c r="A69" s="17"/>
      <c r="B69" s="17"/>
      <c r="C69" s="17"/>
      <c r="D69" s="17"/>
      <c r="E69" s="17"/>
      <c r="F69" s="17"/>
      <c r="G69" s="17"/>
      <c r="H69" s="17"/>
    </row>
    <row r="70" customFormat="false" ht="18" hidden="false" customHeight="true" outlineLevel="0" collapsed="false">
      <c r="A70" s="223" t="s">
        <v>430</v>
      </c>
      <c r="B70" s="223"/>
      <c r="C70" s="223"/>
      <c r="D70" s="223"/>
      <c r="E70" s="223"/>
      <c r="F70" s="17"/>
      <c r="G70" s="17"/>
      <c r="H70" s="17"/>
    </row>
    <row r="71" customFormat="false" ht="14.25" hidden="false" customHeight="true" outlineLevel="0" collapsed="false">
      <c r="A71" s="205" t="s">
        <v>431</v>
      </c>
      <c r="B71" s="205"/>
      <c r="C71" s="205"/>
      <c r="D71" s="205"/>
      <c r="E71" s="205"/>
      <c r="F71" s="17"/>
      <c r="G71" s="17"/>
      <c r="H71" s="17"/>
    </row>
    <row r="72" customFormat="false" ht="14.25" hidden="false" customHeight="true" outlineLevel="0" collapsed="false">
      <c r="A72" s="17"/>
      <c r="B72" s="17"/>
      <c r="C72" s="17"/>
      <c r="D72" s="17"/>
      <c r="E72" s="17"/>
      <c r="F72" s="17"/>
      <c r="G72" s="17"/>
      <c r="H72" s="17"/>
    </row>
    <row r="73" customFormat="false" ht="69.75" hidden="false" customHeight="true" outlineLevel="0" collapsed="false">
      <c r="A73" s="210" t="s">
        <v>432</v>
      </c>
      <c r="B73" s="211" t="s">
        <v>433</v>
      </c>
      <c r="C73" s="211" t="s">
        <v>434</v>
      </c>
      <c r="D73" s="211" t="s">
        <v>435</v>
      </c>
      <c r="E73" s="211" t="s">
        <v>436</v>
      </c>
      <c r="F73" s="17"/>
      <c r="G73" s="17"/>
      <c r="H73" s="17"/>
    </row>
    <row r="74" customFormat="false" ht="14.25" hidden="false" customHeight="true" outlineLevel="0" collapsed="false">
      <c r="A74" s="212" t="s">
        <v>390</v>
      </c>
      <c r="B74" s="214" t="n">
        <v>1000000</v>
      </c>
      <c r="C74" s="214" t="n">
        <v>0</v>
      </c>
      <c r="D74" s="215" t="n">
        <f aca="false">C74*1.176</f>
        <v>0</v>
      </c>
      <c r="E74" s="215" t="n">
        <f aca="false">B74+D74</f>
        <v>1000000</v>
      </c>
      <c r="F74" s="17"/>
      <c r="G74" s="17"/>
      <c r="H74" s="17"/>
    </row>
    <row r="75" customFormat="false" ht="14.25" hidden="false" customHeight="true" outlineLevel="0" collapsed="false">
      <c r="A75" s="212" t="s">
        <v>393</v>
      </c>
      <c r="B75" s="214" t="n">
        <v>0</v>
      </c>
      <c r="C75" s="214" t="n">
        <v>1300000</v>
      </c>
      <c r="D75" s="215" t="n">
        <f aca="false">C75*1.176</f>
        <v>1528800</v>
      </c>
      <c r="E75" s="215" t="n">
        <f aca="false">B75+D75</f>
        <v>1528800</v>
      </c>
      <c r="F75" s="17"/>
      <c r="G75" s="17"/>
      <c r="H75" s="17"/>
    </row>
    <row r="76" customFormat="false" ht="14.25" hidden="false" customHeight="true" outlineLevel="0" collapsed="false">
      <c r="A76" s="212" t="s">
        <v>395</v>
      </c>
      <c r="B76" s="214" t="n">
        <v>3500000</v>
      </c>
      <c r="C76" s="214" t="n">
        <v>0</v>
      </c>
      <c r="D76" s="215" t="n">
        <f aca="false">C76*1.176</f>
        <v>0</v>
      </c>
      <c r="E76" s="215" t="n">
        <f aca="false">B76+D76</f>
        <v>3500000</v>
      </c>
      <c r="F76" s="17"/>
      <c r="G76" s="17"/>
      <c r="H76" s="17"/>
    </row>
    <row r="77" customFormat="false" ht="14.25" hidden="false" customHeight="true" outlineLevel="0" collapsed="false">
      <c r="A77" s="212" t="s">
        <v>398</v>
      </c>
      <c r="B77" s="214" t="n">
        <v>1700000</v>
      </c>
      <c r="C77" s="214" t="n">
        <v>2300000</v>
      </c>
      <c r="D77" s="215" t="n">
        <f aca="false">C77*1.176</f>
        <v>2704800</v>
      </c>
      <c r="E77" s="215" t="n">
        <f aca="false">B77+D77</f>
        <v>4404800</v>
      </c>
      <c r="F77" s="17"/>
      <c r="G77" s="17"/>
      <c r="H77" s="17"/>
    </row>
    <row r="78" customFormat="false" ht="14.25" hidden="false" customHeight="true" outlineLevel="0" collapsed="false">
      <c r="A78" s="212" t="s">
        <v>401</v>
      </c>
      <c r="B78" s="214" t="n">
        <v>1000000</v>
      </c>
      <c r="C78" s="214" t="n">
        <v>1100000</v>
      </c>
      <c r="D78" s="215" t="n">
        <f aca="false">C78*1.176</f>
        <v>1293600</v>
      </c>
      <c r="E78" s="215" t="n">
        <f aca="false">B78+D78</f>
        <v>2293600</v>
      </c>
      <c r="F78" s="17"/>
      <c r="G78" s="17"/>
      <c r="H78" s="17"/>
    </row>
    <row r="79" customFormat="false" ht="14.25" hidden="false" customHeight="true" outlineLevel="0" collapsed="false">
      <c r="A79" s="212" t="s">
        <v>404</v>
      </c>
      <c r="B79" s="214" t="n">
        <v>1000000</v>
      </c>
      <c r="C79" s="214" t="n">
        <v>0</v>
      </c>
      <c r="D79" s="215" t="n">
        <f aca="false">C79*1.176</f>
        <v>0</v>
      </c>
      <c r="E79" s="215" t="n">
        <f aca="false">B79+D79</f>
        <v>1000000</v>
      </c>
      <c r="F79" s="17"/>
      <c r="G79" s="17"/>
      <c r="H79" s="17"/>
    </row>
    <row r="80" customFormat="false" ht="14.25" hidden="false" customHeight="true" outlineLevel="0" collapsed="false">
      <c r="A80" s="212" t="s">
        <v>407</v>
      </c>
      <c r="B80" s="214" t="n">
        <v>800000</v>
      </c>
      <c r="C80" s="214" t="n">
        <v>0</v>
      </c>
      <c r="D80" s="215" t="n">
        <f aca="false">C80*1.176</f>
        <v>0</v>
      </c>
      <c r="E80" s="215" t="n">
        <f aca="false">B80+D80</f>
        <v>800000</v>
      </c>
      <c r="F80" s="17"/>
      <c r="G80" s="17"/>
      <c r="H80" s="17"/>
    </row>
    <row r="81" customFormat="false" ht="14.25" hidden="false" customHeight="true" outlineLevel="0" collapsed="false">
      <c r="A81" s="216" t="s">
        <v>348</v>
      </c>
      <c r="B81" s="218" t="n">
        <f aca="false">SUM(B74:B80)</f>
        <v>9000000</v>
      </c>
      <c r="C81" s="226" t="n">
        <f aca="false">SUM(C74:C80)</f>
        <v>4700000</v>
      </c>
      <c r="D81" s="218" t="n">
        <f aca="false">SUM(D74:D80)</f>
        <v>5527200</v>
      </c>
      <c r="E81" s="218" t="n">
        <f aca="false">SUM(E74:E80)</f>
        <v>14527200</v>
      </c>
      <c r="F81" s="17"/>
      <c r="G81" s="17"/>
      <c r="H81" s="17"/>
    </row>
    <row r="82" customFormat="false" ht="14.25" hidden="false" customHeight="true" outlineLevel="0" collapsed="false">
      <c r="A82" s="17"/>
      <c r="B82" s="17"/>
      <c r="C82" s="17"/>
      <c r="D82" s="17"/>
      <c r="E82" s="17"/>
      <c r="F82" s="17"/>
      <c r="G82" s="17"/>
      <c r="H82" s="17"/>
    </row>
    <row r="83" customFormat="false" ht="14.25" hidden="false" customHeight="true" outlineLevel="0" collapsed="false">
      <c r="A83" s="205" t="s">
        <v>437</v>
      </c>
      <c r="B83" s="205"/>
      <c r="C83" s="205"/>
      <c r="D83" s="205"/>
      <c r="E83" s="205"/>
      <c r="F83" s="17"/>
      <c r="G83" s="17"/>
      <c r="H83" s="17"/>
    </row>
    <row r="84" customFormat="false" ht="14.25" hidden="false" customHeight="true" outlineLevel="0" collapsed="false">
      <c r="A84" s="17"/>
      <c r="B84" s="17"/>
      <c r="C84" s="17"/>
      <c r="D84" s="17"/>
      <c r="E84" s="17"/>
      <c r="F84" s="17"/>
      <c r="G84" s="17"/>
      <c r="H84" s="17"/>
    </row>
    <row r="85" customFormat="false" ht="18" hidden="false" customHeight="true" outlineLevel="0" collapsed="false">
      <c r="A85" s="223" t="s">
        <v>438</v>
      </c>
      <c r="B85" s="223"/>
      <c r="C85" s="223"/>
      <c r="D85" s="223"/>
      <c r="E85" s="17"/>
      <c r="F85" s="17"/>
      <c r="G85" s="17"/>
      <c r="H85" s="17"/>
    </row>
    <row r="86" customFormat="false" ht="14.25" hidden="false" customHeight="true" outlineLevel="0" collapsed="false">
      <c r="A86" s="205" t="s">
        <v>439</v>
      </c>
      <c r="B86" s="205"/>
      <c r="C86" s="205"/>
      <c r="D86" s="205"/>
      <c r="E86" s="17"/>
      <c r="F86" s="17"/>
      <c r="G86" s="17"/>
      <c r="H86" s="17"/>
    </row>
    <row r="87" customFormat="false" ht="14.25" hidden="false" customHeight="true" outlineLevel="0" collapsed="false">
      <c r="A87" s="17"/>
      <c r="B87" s="17"/>
      <c r="C87" s="17"/>
      <c r="D87" s="17"/>
      <c r="E87" s="17"/>
      <c r="F87" s="17"/>
      <c r="G87" s="17"/>
      <c r="H87" s="17"/>
    </row>
    <row r="88" customFormat="false" ht="27.75" hidden="false" customHeight="true" outlineLevel="0" collapsed="false">
      <c r="A88" s="210" t="s">
        <v>440</v>
      </c>
      <c r="B88" s="210" t="s">
        <v>441</v>
      </c>
      <c r="C88" s="210" t="s">
        <v>442</v>
      </c>
      <c r="D88" s="210" t="s">
        <v>443</v>
      </c>
      <c r="E88" s="17"/>
      <c r="F88" s="17"/>
      <c r="G88" s="17"/>
      <c r="H88" s="17"/>
    </row>
    <row r="89" customFormat="false" ht="14.25" hidden="false" customHeight="true" outlineLevel="0" collapsed="false">
      <c r="A89" s="212" t="s">
        <v>444</v>
      </c>
      <c r="B89" s="214" t="n">
        <v>15582804</v>
      </c>
      <c r="C89" s="173" t="s">
        <v>445</v>
      </c>
      <c r="D89" s="173" t="s">
        <v>446</v>
      </c>
      <c r="E89" s="17"/>
      <c r="F89" s="17"/>
      <c r="G89" s="17"/>
      <c r="H89" s="17"/>
    </row>
    <row r="90" customFormat="false" ht="14.25" hidden="false" customHeight="true" outlineLevel="0" collapsed="false">
      <c r="A90" s="212" t="s">
        <v>447</v>
      </c>
      <c r="B90" s="227" t="n">
        <v>-1771000</v>
      </c>
      <c r="C90" s="173" t="s">
        <v>445</v>
      </c>
      <c r="D90" s="173" t="s">
        <v>448</v>
      </c>
      <c r="E90" s="17"/>
      <c r="F90" s="17"/>
      <c r="G90" s="17"/>
      <c r="H90" s="17"/>
    </row>
    <row r="91" customFormat="false" ht="14.25" hidden="false" customHeight="true" outlineLevel="0" collapsed="false">
      <c r="A91" s="212" t="s">
        <v>449</v>
      </c>
      <c r="B91" s="227" t="n">
        <v>0</v>
      </c>
      <c r="C91" s="173" t="s">
        <v>445</v>
      </c>
      <c r="D91" s="173" t="s">
        <v>450</v>
      </c>
      <c r="E91" s="17"/>
      <c r="F91" s="17"/>
      <c r="G91" s="17"/>
      <c r="H91" s="17"/>
    </row>
    <row r="92" customFormat="false" ht="14.25" hidden="false" customHeight="true" outlineLevel="0" collapsed="false">
      <c r="A92" s="212" t="s">
        <v>451</v>
      </c>
      <c r="B92" s="215" t="n">
        <f aca="false">B94-B89-SUM(B90:B91)-SUM(B93:B93)</f>
        <v>651032</v>
      </c>
      <c r="C92" s="173" t="s">
        <v>452</v>
      </c>
      <c r="D92" s="173" t="s">
        <v>453</v>
      </c>
      <c r="E92" s="17"/>
      <c r="F92" s="17"/>
      <c r="G92" s="17"/>
      <c r="H92" s="17"/>
    </row>
    <row r="93" customFormat="false" ht="14.25" hidden="false" customHeight="true" outlineLevel="0" collapsed="false">
      <c r="A93" s="212" t="s">
        <v>454</v>
      </c>
      <c r="B93" s="227" t="n">
        <v>0</v>
      </c>
      <c r="C93" s="173" t="s">
        <v>445</v>
      </c>
      <c r="D93" s="173" t="s">
        <v>455</v>
      </c>
      <c r="E93" s="17"/>
      <c r="F93" s="17"/>
      <c r="G93" s="17"/>
      <c r="H93" s="17"/>
    </row>
    <row r="94" customFormat="false" ht="14.25" hidden="false" customHeight="true" outlineLevel="0" collapsed="false">
      <c r="A94" s="216" t="s">
        <v>456</v>
      </c>
      <c r="B94" s="228" t="n">
        <v>14462836</v>
      </c>
      <c r="C94" s="217"/>
      <c r="D94" s="229" t="s">
        <v>457</v>
      </c>
      <c r="E94" s="17"/>
      <c r="F94" s="17"/>
      <c r="G94" s="17"/>
      <c r="H94" s="17"/>
    </row>
    <row r="95" customFormat="false" ht="14.25" hidden="false" customHeight="true" outlineLevel="0" collapsed="false">
      <c r="A95" s="17"/>
      <c r="B95" s="17"/>
      <c r="C95" s="17"/>
      <c r="D95" s="17"/>
      <c r="E95" s="17"/>
      <c r="F95" s="17"/>
      <c r="G95" s="17"/>
      <c r="H95" s="17"/>
    </row>
    <row r="96" customFormat="false" ht="14.25" hidden="false" customHeight="true" outlineLevel="0" collapsed="false">
      <c r="A96" s="46" t="s">
        <v>458</v>
      </c>
      <c r="B96" s="230" t="n">
        <f aca="false">B89+SUM(B90:B93)-B94</f>
        <v>0</v>
      </c>
      <c r="C96" s="17"/>
      <c r="D96" s="173" t="s">
        <v>459</v>
      </c>
      <c r="E96" s="17"/>
      <c r="F96" s="17"/>
      <c r="G96" s="17"/>
      <c r="H96" s="17"/>
    </row>
    <row r="97" customFormat="false" ht="14.25" hidden="false" customHeight="true" outlineLevel="0" collapsed="false">
      <c r="A97" s="17"/>
      <c r="B97" s="17"/>
      <c r="C97" s="17"/>
      <c r="D97" s="17"/>
      <c r="E97" s="17"/>
      <c r="F97" s="17"/>
      <c r="G97" s="17"/>
      <c r="H97" s="17"/>
    </row>
    <row r="98" customFormat="false" ht="14.25" hidden="false" customHeight="true" outlineLevel="0" collapsed="false">
      <c r="A98" s="17"/>
      <c r="B98" s="17"/>
      <c r="C98" s="17"/>
      <c r="D98" s="17"/>
      <c r="E98" s="17"/>
      <c r="F98" s="17"/>
      <c r="G98" s="17"/>
      <c r="H98" s="17"/>
    </row>
    <row r="99" customFormat="false" ht="18" hidden="false" customHeight="true" outlineLevel="0" collapsed="false">
      <c r="A99" s="223" t="s">
        <v>460</v>
      </c>
      <c r="B99" s="223"/>
      <c r="C99" s="223"/>
      <c r="D99" s="223"/>
      <c r="E99" s="223"/>
      <c r="F99" s="17"/>
      <c r="G99" s="17"/>
      <c r="H99" s="17"/>
    </row>
    <row r="100" customFormat="false" ht="14.25" hidden="false" customHeight="true" outlineLevel="0" collapsed="false">
      <c r="A100" s="205" t="s">
        <v>461</v>
      </c>
      <c r="B100" s="205"/>
      <c r="C100" s="205"/>
      <c r="D100" s="205"/>
      <c r="E100" s="205"/>
      <c r="F100" s="17"/>
      <c r="G100" s="17"/>
      <c r="H100" s="17"/>
    </row>
    <row r="101" customFormat="false" ht="14.25" hidden="false" customHeight="true" outlineLevel="0" collapsed="false">
      <c r="A101" s="17"/>
      <c r="B101" s="17"/>
      <c r="C101" s="17"/>
      <c r="D101" s="17"/>
      <c r="E101" s="17"/>
      <c r="F101" s="17"/>
      <c r="G101" s="17"/>
      <c r="H101" s="17"/>
    </row>
    <row r="102" customFormat="false" ht="27.75" hidden="false" customHeight="true" outlineLevel="0" collapsed="false">
      <c r="A102" s="210" t="s">
        <v>462</v>
      </c>
      <c r="B102" s="210" t="s">
        <v>381</v>
      </c>
      <c r="C102" s="210" t="s">
        <v>382</v>
      </c>
      <c r="D102" s="210" t="s">
        <v>463</v>
      </c>
      <c r="E102" s="211" t="s">
        <v>464</v>
      </c>
      <c r="F102" s="17"/>
      <c r="G102" s="17"/>
      <c r="H102" s="17"/>
    </row>
    <row r="103" customFormat="false" ht="14.25" hidden="false" customHeight="true" outlineLevel="0" collapsed="false">
      <c r="A103" s="212" t="s">
        <v>367</v>
      </c>
      <c r="B103" s="212" t="s">
        <v>388</v>
      </c>
      <c r="C103" s="213" t="n">
        <v>0.04375</v>
      </c>
      <c r="D103" s="214" t="n">
        <v>1000000</v>
      </c>
      <c r="E103" s="215" t="n">
        <f aca="false">IF(B103="EUR",C103*D103*1.176,C103*D103)</f>
        <v>43750</v>
      </c>
      <c r="F103" s="17"/>
      <c r="G103" s="17"/>
      <c r="H103" s="17"/>
    </row>
    <row r="104" customFormat="false" ht="14.25" hidden="false" customHeight="true" outlineLevel="0" collapsed="false">
      <c r="A104" s="212" t="s">
        <v>366</v>
      </c>
      <c r="B104" s="212" t="s">
        <v>391</v>
      </c>
      <c r="C104" s="213" t="n">
        <v>0.03625</v>
      </c>
      <c r="D104" s="214" t="n">
        <v>1300000</v>
      </c>
      <c r="E104" s="215" t="n">
        <f aca="false">IF(B104="EUR",C104*D104*1.176,C104*D104)</f>
        <v>55419</v>
      </c>
      <c r="F104" s="17"/>
      <c r="G104" s="17"/>
      <c r="H104" s="17"/>
    </row>
    <row r="105" customFormat="false" ht="14.25" hidden="false" customHeight="true" outlineLevel="0" collapsed="false">
      <c r="A105" s="212" t="s">
        <v>368</v>
      </c>
      <c r="B105" s="212" t="s">
        <v>388</v>
      </c>
      <c r="C105" s="213" t="n">
        <v>0.04875</v>
      </c>
      <c r="D105" s="214" t="n">
        <v>1600000</v>
      </c>
      <c r="E105" s="215" t="n">
        <f aca="false">IF(B105="EUR",C105*D105*1.176,C105*D105)</f>
        <v>78000</v>
      </c>
      <c r="F105" s="17"/>
      <c r="G105" s="17"/>
      <c r="H105" s="17"/>
    </row>
    <row r="106" customFormat="false" ht="14.25" hidden="false" customHeight="true" outlineLevel="0" collapsed="false">
      <c r="A106" s="212" t="s">
        <v>364</v>
      </c>
      <c r="B106" s="212" t="s">
        <v>388</v>
      </c>
      <c r="C106" s="213" t="n">
        <v>0.05875</v>
      </c>
      <c r="D106" s="214" t="n">
        <v>1900000</v>
      </c>
      <c r="E106" s="215" t="n">
        <f aca="false">IF(B106="EUR",C106*D106*1.176,C106*D106)</f>
        <v>111625</v>
      </c>
      <c r="F106" s="17"/>
      <c r="G106" s="17"/>
      <c r="H106" s="17"/>
    </row>
    <row r="107" customFormat="false" ht="14.25" hidden="false" customHeight="true" outlineLevel="0" collapsed="false">
      <c r="A107" s="212" t="s">
        <v>370</v>
      </c>
      <c r="B107" s="212" t="s">
        <v>388</v>
      </c>
      <c r="C107" s="213" t="n">
        <v>0.06375</v>
      </c>
      <c r="D107" s="214" t="n">
        <v>800000</v>
      </c>
      <c r="E107" s="215" t="n">
        <f aca="false">IF(B107="EUR",C107*D107*1.176,C107*D107)</f>
        <v>51000</v>
      </c>
      <c r="F107" s="17"/>
      <c r="G107" s="17"/>
      <c r="H107" s="17"/>
    </row>
    <row r="108" customFormat="false" ht="14.25" hidden="false" customHeight="true" outlineLevel="0" collapsed="false">
      <c r="A108" s="212" t="s">
        <v>369</v>
      </c>
      <c r="B108" s="212" t="s">
        <v>391</v>
      </c>
      <c r="C108" s="213" t="n">
        <v>0.04625</v>
      </c>
      <c r="D108" s="214" t="n">
        <v>1100000</v>
      </c>
      <c r="E108" s="215" t="n">
        <f aca="false">IF(B108="EUR",C108*D108*1.176,C108*D108)</f>
        <v>59829</v>
      </c>
      <c r="F108" s="17"/>
      <c r="G108" s="17"/>
      <c r="H108" s="17"/>
    </row>
    <row r="109" customFormat="false" ht="14.25" hidden="false" customHeight="true" outlineLevel="0" collapsed="false">
      <c r="A109" s="212" t="s">
        <v>371</v>
      </c>
      <c r="B109" s="212" t="s">
        <v>391</v>
      </c>
      <c r="C109" s="213" t="n">
        <v>0.03875</v>
      </c>
      <c r="D109" s="214" t="n">
        <v>1200000</v>
      </c>
      <c r="E109" s="215" t="n">
        <f aca="false">IF(B109="EUR",C109*D109*1.176,C109*D109)</f>
        <v>54684</v>
      </c>
      <c r="F109" s="17"/>
      <c r="G109" s="17"/>
      <c r="H109" s="17"/>
    </row>
    <row r="110" customFormat="false" ht="14.25" hidden="false" customHeight="true" outlineLevel="0" collapsed="false">
      <c r="A110" s="212" t="s">
        <v>372</v>
      </c>
      <c r="B110" s="212" t="s">
        <v>388</v>
      </c>
      <c r="C110" s="213" t="n">
        <v>0.05375</v>
      </c>
      <c r="D110" s="214" t="n">
        <v>900000</v>
      </c>
      <c r="E110" s="215" t="n">
        <f aca="false">IF(B110="EUR",C110*D110*1.176,C110*D110)</f>
        <v>48375</v>
      </c>
      <c r="F110" s="17"/>
      <c r="G110" s="17"/>
      <c r="H110" s="17"/>
    </row>
    <row r="111" customFormat="false" ht="14.25" hidden="false" customHeight="true" outlineLevel="0" collapsed="false">
      <c r="A111" s="212" t="s">
        <v>366</v>
      </c>
      <c r="B111" s="212" t="s">
        <v>391</v>
      </c>
      <c r="C111" s="213" t="n">
        <v>0.03625</v>
      </c>
      <c r="D111" s="214" t="n">
        <v>1100000</v>
      </c>
      <c r="E111" s="215" t="n">
        <f aca="false">IF(B111="EUR",C111*D111*1.176,C111*D111)</f>
        <v>46893</v>
      </c>
      <c r="F111" s="17"/>
      <c r="G111" s="17"/>
      <c r="H111" s="17"/>
    </row>
    <row r="112" customFormat="false" ht="14.25" hidden="false" customHeight="true" outlineLevel="0" collapsed="false">
      <c r="A112" s="212" t="s">
        <v>368</v>
      </c>
      <c r="B112" s="212" t="s">
        <v>388</v>
      </c>
      <c r="C112" s="213" t="n">
        <v>0.04875</v>
      </c>
      <c r="D112" s="214" t="n">
        <v>1000000</v>
      </c>
      <c r="E112" s="215" t="n">
        <f aca="false">IF(B112="EUR",C112*D112*1.176,C112*D112)</f>
        <v>48750</v>
      </c>
      <c r="F112" s="17"/>
      <c r="G112" s="17"/>
      <c r="H112" s="17"/>
    </row>
    <row r="113" customFormat="false" ht="14.25" hidden="false" customHeight="true" outlineLevel="0" collapsed="false">
      <c r="A113" s="212" t="s">
        <v>402</v>
      </c>
      <c r="B113" s="212" t="s">
        <v>388</v>
      </c>
      <c r="C113" s="213" t="n">
        <v>0.049</v>
      </c>
      <c r="D113" s="214" t="n">
        <v>1000000</v>
      </c>
      <c r="E113" s="215" t="n">
        <f aca="false">IF(B113="EUR",C113*D113*1.176,C113*D113)</f>
        <v>49000</v>
      </c>
      <c r="F113" s="17"/>
      <c r="G113" s="17"/>
      <c r="H113" s="17"/>
    </row>
    <row r="114" customFormat="false" ht="14.25" hidden="false" customHeight="true" outlineLevel="0" collapsed="false">
      <c r="A114" s="212" t="s">
        <v>405</v>
      </c>
      <c r="B114" s="212" t="s">
        <v>388</v>
      </c>
      <c r="C114" s="213" t="n">
        <v>0.054</v>
      </c>
      <c r="D114" s="214" t="n">
        <v>800000</v>
      </c>
      <c r="E114" s="215" t="n">
        <f aca="false">IF(B114="EUR",C114*D114*1.176,C114*D114)</f>
        <v>43200</v>
      </c>
      <c r="F114" s="17"/>
      <c r="G114" s="17"/>
      <c r="H114" s="17"/>
    </row>
    <row r="115" customFormat="false" ht="14.25" hidden="false" customHeight="true" outlineLevel="0" collapsed="false">
      <c r="A115" s="216" t="s">
        <v>465</v>
      </c>
      <c r="B115" s="217"/>
      <c r="C115" s="217"/>
      <c r="D115" s="217"/>
      <c r="E115" s="218" t="n">
        <f aca="false">SUM(E103:E114)</f>
        <v>690525</v>
      </c>
      <c r="F115" s="17"/>
      <c r="G115" s="17"/>
      <c r="H115" s="17"/>
    </row>
    <row r="116" customFormat="false" ht="14.25" hidden="false" customHeight="true" outlineLevel="0" collapsed="false">
      <c r="A116" s="17"/>
      <c r="B116" s="17"/>
      <c r="C116" s="17"/>
      <c r="D116" s="17"/>
      <c r="E116" s="17"/>
      <c r="F116" s="17"/>
      <c r="G116" s="17"/>
      <c r="H116" s="17"/>
    </row>
    <row r="117" customFormat="false" ht="14.25" hidden="false" customHeight="true" outlineLevel="0" collapsed="false">
      <c r="A117" s="46" t="s">
        <v>466</v>
      </c>
      <c r="B117" s="17"/>
      <c r="C117" s="17"/>
      <c r="D117" s="17"/>
      <c r="E117" s="17"/>
      <c r="F117" s="17"/>
      <c r="G117" s="17"/>
      <c r="H117" s="17"/>
    </row>
    <row r="118" customFormat="false" ht="14.25" hidden="false" customHeight="true" outlineLevel="0" collapsed="false">
      <c r="A118" s="212" t="s">
        <v>467</v>
      </c>
      <c r="B118" s="17"/>
      <c r="C118" s="17"/>
      <c r="D118" s="17"/>
      <c r="E118" s="231"/>
      <c r="F118" s="17"/>
      <c r="G118" s="17"/>
      <c r="H118" s="17"/>
    </row>
    <row r="119" customFormat="false" ht="14.25" hidden="false" customHeight="true" outlineLevel="0" collapsed="false">
      <c r="A119" s="212" t="s">
        <v>468</v>
      </c>
      <c r="B119" s="17"/>
      <c r="C119" s="17"/>
      <c r="D119" s="17"/>
      <c r="E119" s="231"/>
      <c r="F119" s="17"/>
      <c r="G119" s="17"/>
      <c r="H119" s="17"/>
    </row>
    <row r="120" customFormat="false" ht="14.25" hidden="false" customHeight="true" outlineLevel="0" collapsed="false">
      <c r="A120" s="212" t="s">
        <v>469</v>
      </c>
      <c r="B120" s="17"/>
      <c r="C120" s="17"/>
      <c r="D120" s="17"/>
      <c r="E120" s="231"/>
      <c r="F120" s="17"/>
      <c r="G120" s="17"/>
      <c r="H120" s="17"/>
    </row>
    <row r="121" customFormat="false" ht="14.25" hidden="false" customHeight="true" outlineLevel="0" collapsed="false">
      <c r="A121" s="17"/>
      <c r="B121" s="17"/>
      <c r="C121" s="17"/>
      <c r="D121" s="17"/>
      <c r="E121" s="17"/>
      <c r="F121" s="17"/>
      <c r="G121" s="17"/>
      <c r="H121" s="17"/>
    </row>
    <row r="122" customFormat="false" ht="14.25" hidden="false" customHeight="true" outlineLevel="0" collapsed="false">
      <c r="A122" s="205" t="s">
        <v>470</v>
      </c>
      <c r="B122" s="205"/>
      <c r="C122" s="205"/>
      <c r="D122" s="205"/>
      <c r="E122" s="205"/>
      <c r="F122" s="17"/>
      <c r="G122" s="17"/>
      <c r="H122" s="17"/>
    </row>
    <row r="125" customFormat="false" ht="15" hidden="false" customHeight="true" outlineLevel="0" collapsed="false">
      <c r="A125" s="232" t="s">
        <v>471</v>
      </c>
    </row>
    <row r="127" customFormat="false" ht="14.25" hidden="false" customHeight="true" outlineLevel="0" collapsed="false">
      <c r="A127" s="22" t="s">
        <v>472</v>
      </c>
    </row>
    <row r="129" customFormat="false" ht="14.25" hidden="false" customHeight="true" outlineLevel="0" collapsed="false">
      <c r="A129" s="19" t="s">
        <v>473</v>
      </c>
    </row>
    <row r="130" customFormat="false" ht="14.25" hidden="false" customHeight="true" outlineLevel="0" collapsed="false">
      <c r="A130" s="1" t="s">
        <v>474</v>
      </c>
    </row>
    <row r="131" customFormat="false" ht="14.25" hidden="false" customHeight="true" outlineLevel="0" collapsed="false">
      <c r="A131" s="1" t="s">
        <v>475</v>
      </c>
    </row>
    <row r="132" customFormat="false" ht="14.25" hidden="false" customHeight="true" outlineLevel="0" collapsed="false">
      <c r="A132" s="1" t="s">
        <v>476</v>
      </c>
    </row>
    <row r="133" customFormat="false" ht="14.25" hidden="false" customHeight="true" outlineLevel="0" collapsed="false">
      <c r="A133" s="1" t="s">
        <v>477</v>
      </c>
    </row>
    <row r="135" customFormat="false" ht="14.25" hidden="false" customHeight="true" outlineLevel="0" collapsed="false">
      <c r="A135" s="19" t="s">
        <v>478</v>
      </c>
    </row>
    <row r="136" customFormat="false" ht="14.25" hidden="false" customHeight="true" outlineLevel="0" collapsed="false">
      <c r="A136" s="1" t="s">
        <v>479</v>
      </c>
    </row>
    <row r="137" customFormat="false" ht="14.25" hidden="false" customHeight="true" outlineLevel="0" collapsed="false">
      <c r="A137" s="1" t="s">
        <v>480</v>
      </c>
    </row>
    <row r="138" customFormat="false" ht="14.25" hidden="false" customHeight="true" outlineLevel="0" collapsed="false">
      <c r="A138" s="1" t="s">
        <v>481</v>
      </c>
    </row>
    <row r="140" customFormat="false" ht="14.25" hidden="false" customHeight="true" outlineLevel="0" collapsed="false">
      <c r="A140" s="22" t="s">
        <v>482</v>
      </c>
    </row>
  </sheetData>
  <mergeCells count="17">
    <mergeCell ref="A1:H1"/>
    <mergeCell ref="A2:H2"/>
    <mergeCell ref="A4:G4"/>
    <mergeCell ref="A6:G6"/>
    <mergeCell ref="A27:G27"/>
    <mergeCell ref="A28:G28"/>
    <mergeCell ref="A29:G29"/>
    <mergeCell ref="A58:D58"/>
    <mergeCell ref="A59:D59"/>
    <mergeCell ref="A70:E70"/>
    <mergeCell ref="A71:E71"/>
    <mergeCell ref="A83:E83"/>
    <mergeCell ref="A85:D85"/>
    <mergeCell ref="A86:D86"/>
    <mergeCell ref="A99:E99"/>
    <mergeCell ref="A100:E100"/>
    <mergeCell ref="A122:E1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F8A3D"/>
    <pageSetUpPr fitToPage="false"/>
  </sheetPr>
  <dimension ref="A1:G2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D16" activeCellId="0" sqref="D16"/>
    </sheetView>
  </sheetViews>
  <sheetFormatPr defaultColWidth="8.6328125" defaultRowHeight="14.25" zeroHeight="false" outlineLevelRow="0" outlineLevelCol="0"/>
  <cols>
    <col collapsed="false" customWidth="true" hidden="false" outlineLevel="0" max="1" min="1" style="15" width="30"/>
    <col collapsed="false" customWidth="true" hidden="false" outlineLevel="0" max="7" min="2" style="15" width="12"/>
  </cols>
  <sheetData>
    <row r="1" customFormat="false" ht="24" hidden="false" customHeight="true" outlineLevel="0" collapsed="false">
      <c r="A1" s="16" t="s">
        <v>483</v>
      </c>
      <c r="B1" s="16"/>
      <c r="C1" s="16"/>
      <c r="D1" s="16"/>
      <c r="E1" s="16"/>
      <c r="F1" s="16"/>
      <c r="G1" s="16"/>
    </row>
    <row r="2" customFormat="false" ht="15" hidden="false" customHeight="true" outlineLevel="0" collapsed="false">
      <c r="A2" s="17"/>
      <c r="B2" s="17"/>
      <c r="C2" s="17"/>
      <c r="D2" s="17"/>
      <c r="E2" s="17"/>
      <c r="F2" s="17"/>
      <c r="G2" s="17"/>
    </row>
    <row r="3" customFormat="false" ht="15" hidden="false" customHeight="true" outlineLevel="0" collapsed="false">
      <c r="A3" s="233" t="s">
        <v>484</v>
      </c>
      <c r="B3" s="31" t="s">
        <v>67</v>
      </c>
      <c r="C3" s="31" t="s">
        <v>56</v>
      </c>
      <c r="D3" s="31" t="s">
        <v>57</v>
      </c>
      <c r="E3" s="31" t="s">
        <v>58</v>
      </c>
      <c r="F3" s="31" t="s">
        <v>59</v>
      </c>
      <c r="G3" s="31" t="s">
        <v>60</v>
      </c>
    </row>
    <row r="4" customFormat="false" ht="15" hidden="false" customHeight="true" outlineLevel="0" collapsed="false">
      <c r="A4" s="17"/>
      <c r="B4" s="17"/>
      <c r="C4" s="17"/>
      <c r="D4" s="17"/>
      <c r="E4" s="17"/>
      <c r="F4" s="17"/>
      <c r="G4" s="17"/>
    </row>
    <row r="5" customFormat="false" ht="15" hidden="false" customHeight="true" outlineLevel="0" collapsed="false">
      <c r="A5" s="17" t="s">
        <v>485</v>
      </c>
      <c r="B5" s="61" t="n">
        <f aca="false">Assumptions!C50</f>
        <v>0.515134241975241</v>
      </c>
      <c r="C5" s="61" t="n">
        <f aca="false">Assumptions!D50</f>
        <v>0.512134</v>
      </c>
      <c r="D5" s="61" t="n">
        <f aca="false">Assumptions!E50</f>
        <v>0.509134</v>
      </c>
      <c r="E5" s="61" t="n">
        <f aca="false">Assumptions!F50</f>
        <v>0.506134</v>
      </c>
      <c r="F5" s="61" t="n">
        <f aca="false">Assumptions!G50</f>
        <v>0.503134</v>
      </c>
      <c r="G5" s="61" t="n">
        <f aca="false">Assumptions!H50</f>
        <v>0.500134</v>
      </c>
    </row>
    <row r="6" customFormat="false" ht="15" hidden="false" customHeight="true" outlineLevel="0" collapsed="false">
      <c r="A6" s="17" t="s">
        <v>486</v>
      </c>
      <c r="B6" s="61" t="n">
        <f aca="false">Assumptions!C58</f>
        <v>0.0730651654306718</v>
      </c>
      <c r="C6" s="61" t="n">
        <f aca="false">Assumptions!D58</f>
        <v>0.072065</v>
      </c>
      <c r="D6" s="61" t="n">
        <f aca="false">Assumptions!E58</f>
        <v>0.071065</v>
      </c>
      <c r="E6" s="61" t="n">
        <f aca="false">Assumptions!F58</f>
        <v>0.070065</v>
      </c>
      <c r="F6" s="61" t="n">
        <f aca="false">Assumptions!G58</f>
        <v>0.069065</v>
      </c>
      <c r="G6" s="61" t="n">
        <f aca="false">Assumptions!H58</f>
        <v>0.068065</v>
      </c>
    </row>
    <row r="7" customFormat="false" ht="15" hidden="false" customHeight="true" outlineLevel="0" collapsed="false">
      <c r="A7" s="17" t="s">
        <v>487</v>
      </c>
      <c r="B7" s="61" t="n">
        <f aca="false">Assumptions!C66</f>
        <v>0.075058922556687</v>
      </c>
      <c r="C7" s="61" t="n">
        <f aca="false">Assumptions!D66</f>
        <v>0.075059</v>
      </c>
      <c r="D7" s="61" t="n">
        <f aca="false">Assumptions!E66</f>
        <v>0.074059</v>
      </c>
      <c r="E7" s="61" t="n">
        <f aca="false">Assumptions!F66</f>
        <v>0.073059</v>
      </c>
      <c r="F7" s="61" t="n">
        <f aca="false">Assumptions!G66</f>
        <v>0.072059</v>
      </c>
      <c r="G7" s="61" t="n">
        <f aca="false">Assumptions!H66</f>
        <v>0.071059</v>
      </c>
    </row>
    <row r="8" customFormat="false" ht="15" hidden="false" customHeight="true" outlineLevel="0" collapsed="false">
      <c r="A8" s="17" t="s">
        <v>488</v>
      </c>
      <c r="B8" s="61" t="n">
        <f aca="false">Assumptions!C74</f>
        <v>0.0417946239823282</v>
      </c>
      <c r="C8" s="61" t="n">
        <f aca="false">Assumptions!D74</f>
        <v>0.040795</v>
      </c>
      <c r="D8" s="61" t="n">
        <f aca="false">Assumptions!E74</f>
        <v>0.039795</v>
      </c>
      <c r="E8" s="61" t="n">
        <f aca="false">Assumptions!F74</f>
        <v>0.038795</v>
      </c>
      <c r="F8" s="61" t="n">
        <f aca="false">Assumptions!G74</f>
        <v>0.037795</v>
      </c>
      <c r="G8" s="61" t="n">
        <f aca="false">Assumptions!H74</f>
        <v>0.036795</v>
      </c>
    </row>
    <row r="9" customFormat="false" ht="15" hidden="false" customHeight="true" outlineLevel="0" collapsed="false">
      <c r="A9" s="17" t="s">
        <v>489</v>
      </c>
      <c r="B9" s="61" t="n">
        <f aca="false">Assumptions!C82</f>
        <v>0.0875955303224865</v>
      </c>
      <c r="C9" s="61" t="n">
        <f aca="false">Assumptions!D82</f>
        <v>0.087596</v>
      </c>
      <c r="D9" s="61" t="n">
        <f aca="false">Assumptions!E82</f>
        <v>0.086596</v>
      </c>
      <c r="E9" s="61" t="n">
        <f aca="false">Assumptions!F82</f>
        <v>0.085596</v>
      </c>
      <c r="F9" s="61" t="n">
        <f aca="false">Assumptions!G82</f>
        <v>0.084596</v>
      </c>
      <c r="G9" s="61" t="n">
        <f aca="false">Assumptions!H82</f>
        <v>0.083596</v>
      </c>
    </row>
    <row r="10" customFormat="false" ht="15" hidden="false" customHeight="true" outlineLevel="0" collapsed="false">
      <c r="A10" s="17" t="s">
        <v>490</v>
      </c>
      <c r="B10" s="234" t="n">
        <f aca="false">Assumptions!C90</f>
        <v>14.1</v>
      </c>
      <c r="C10" s="234" t="n">
        <f aca="false">Assumptions!D90</f>
        <v>14.2</v>
      </c>
      <c r="D10" s="234" t="n">
        <f aca="false">Assumptions!E90</f>
        <v>14.3</v>
      </c>
      <c r="E10" s="234" t="n">
        <f aca="false">Assumptions!F90</f>
        <v>14.4</v>
      </c>
      <c r="F10" s="234" t="n">
        <f aca="false">Assumptions!G90</f>
        <v>14.5</v>
      </c>
      <c r="G10" s="234" t="n">
        <f aca="false">Assumptions!H90</f>
        <v>14.5</v>
      </c>
    </row>
    <row r="11" customFormat="false" ht="15" hidden="false" customHeight="true" outlineLevel="0" collapsed="false">
      <c r="A11" s="17" t="s">
        <v>491</v>
      </c>
      <c r="B11" s="61" t="n">
        <f aca="false">Assumptions!C98</f>
        <v>0.0712849176403286</v>
      </c>
      <c r="C11" s="61" t="n">
        <f aca="false">Assumptions!D98</f>
        <v>0.070285</v>
      </c>
      <c r="D11" s="61" t="n">
        <f aca="false">Assumptions!E98</f>
        <v>0.069285</v>
      </c>
      <c r="E11" s="61" t="n">
        <f aca="false">Assumptions!F98</f>
        <v>0.068285</v>
      </c>
      <c r="F11" s="61" t="n">
        <f aca="false">Assumptions!G98</f>
        <v>0.067285</v>
      </c>
      <c r="G11" s="61" t="n">
        <f aca="false">Assumptions!H98</f>
        <v>0.066285</v>
      </c>
    </row>
    <row r="12" customFormat="false" ht="15" hidden="false" customHeight="true" outlineLevel="0" collapsed="false">
      <c r="A12" s="17" t="s">
        <v>492</v>
      </c>
      <c r="B12" s="61" t="n">
        <f aca="false">Assumptions!C106</f>
        <v>0.0393008119241921</v>
      </c>
      <c r="C12" s="61" t="n">
        <f aca="false">Assumptions!D106</f>
        <v>0.039301</v>
      </c>
      <c r="D12" s="61" t="n">
        <f aca="false">Assumptions!E106</f>
        <v>0.039301</v>
      </c>
      <c r="E12" s="61" t="n">
        <f aca="false">Assumptions!F106</f>
        <v>0.038301</v>
      </c>
      <c r="F12" s="61" t="n">
        <f aca="false">Assumptions!G106</f>
        <v>0.038301</v>
      </c>
      <c r="G12" s="61" t="n">
        <f aca="false">Assumptions!H106</f>
        <v>0.037301</v>
      </c>
    </row>
    <row r="13" customFormat="false" ht="15" hidden="false" customHeight="true" outlineLevel="0" collapsed="false">
      <c r="A13" s="17" t="s">
        <v>493</v>
      </c>
      <c r="B13" s="235" t="n">
        <f aca="false">Assumptions!C114</f>
        <v>172459</v>
      </c>
      <c r="C13" s="235" t="n">
        <f aca="false">Assumptions!D114</f>
        <v>50000</v>
      </c>
      <c r="D13" s="235" t="n">
        <f aca="false">Assumptions!E114</f>
        <v>75000</v>
      </c>
      <c r="E13" s="235" t="n">
        <f aca="false">Assumptions!F114</f>
        <v>100000</v>
      </c>
      <c r="F13" s="235" t="n">
        <f aca="false">Assumptions!G114</f>
        <v>100000</v>
      </c>
      <c r="G13" s="235" t="n">
        <f aca="false">Assumptions!H114</f>
        <v>125000</v>
      </c>
    </row>
    <row r="14" customFormat="false" ht="15" hidden="false" customHeight="true" outlineLevel="0" collapsed="false">
      <c r="A14" s="17" t="s">
        <v>271</v>
      </c>
      <c r="B14" s="61" t="n">
        <f aca="false">Assumptions!C122</f>
        <v>0.136871203198855</v>
      </c>
      <c r="C14" s="61" t="n">
        <f aca="false">Assumptions!D122</f>
        <v>0.136871</v>
      </c>
      <c r="D14" s="61" t="n">
        <f aca="false">Assumptions!E122</f>
        <v>0.136871</v>
      </c>
      <c r="E14" s="61" t="n">
        <f aca="false">Assumptions!F122</f>
        <v>0.136871</v>
      </c>
      <c r="F14" s="61" t="n">
        <f aca="false">Assumptions!G122</f>
        <v>0.136871</v>
      </c>
      <c r="G14" s="61" t="n">
        <f aca="false">Assumptions!H122</f>
        <v>0.136871</v>
      </c>
    </row>
    <row r="15" customFormat="false" ht="15" hidden="false" customHeight="true" outlineLevel="0" collapsed="false">
      <c r="A15" s="17"/>
      <c r="B15" s="17"/>
      <c r="C15" s="17"/>
      <c r="D15" s="17"/>
      <c r="E15" s="17"/>
      <c r="F15" s="17"/>
      <c r="G15" s="17"/>
    </row>
    <row r="16" customFormat="false" ht="15" hidden="false" customHeight="true" outlineLevel="0" collapsed="false">
      <c r="A16" s="17" t="s">
        <v>494</v>
      </c>
      <c r="B16" s="61" t="n">
        <f aca="false">Assumptions!C10</f>
        <v>0.05</v>
      </c>
      <c r="C16" s="61" t="n">
        <f aca="false">Assumptions!D10</f>
        <v>0.05</v>
      </c>
      <c r="D16" s="61" t="n">
        <f aca="false">Assumptions!E10</f>
        <v>0.05</v>
      </c>
      <c r="E16" s="61" t="n">
        <f aca="false">Assumptions!F10</f>
        <v>0.05</v>
      </c>
      <c r="F16" s="61" t="n">
        <f aca="false">Assumptions!G10</f>
        <v>0.05</v>
      </c>
      <c r="G16" s="61" t="n">
        <f aca="false">Assumptions!H10</f>
        <v>0.05</v>
      </c>
    </row>
    <row r="17" customFormat="false" ht="15" hidden="false" customHeight="true" outlineLevel="0" collapsed="false">
      <c r="A17" s="17" t="s">
        <v>495</v>
      </c>
      <c r="B17" s="61" t="n">
        <f aca="false">Assumptions!C18</f>
        <v>0.09</v>
      </c>
      <c r="C17" s="61" t="n">
        <f aca="false">Assumptions!D18</f>
        <v>0.09</v>
      </c>
      <c r="D17" s="61" t="n">
        <f aca="false">Assumptions!E18</f>
        <v>0.09</v>
      </c>
      <c r="E17" s="61" t="n">
        <f aca="false">Assumptions!F18</f>
        <v>0.09</v>
      </c>
      <c r="F17" s="61" t="n">
        <f aca="false">Assumptions!G18</f>
        <v>0.09</v>
      </c>
      <c r="G17" s="61" t="n">
        <f aca="false">Assumptions!H18</f>
        <v>0.09</v>
      </c>
    </row>
    <row r="18" customFormat="false" ht="15" hidden="false" customHeight="true" outlineLevel="0" collapsed="false">
      <c r="A18" s="17" t="s">
        <v>496</v>
      </c>
      <c r="B18" s="61" t="n">
        <f aca="false">Assumptions!C26</f>
        <v>0.08</v>
      </c>
      <c r="C18" s="61" t="n">
        <f aca="false">Assumptions!D26</f>
        <v>0.08</v>
      </c>
      <c r="D18" s="61" t="n">
        <f aca="false">Assumptions!E26</f>
        <v>0.08</v>
      </c>
      <c r="E18" s="61" t="n">
        <f aca="false">Assumptions!F26</f>
        <v>0.08</v>
      </c>
      <c r="F18" s="61" t="n">
        <f aca="false">Assumptions!G26</f>
        <v>0.08</v>
      </c>
      <c r="G18" s="61" t="n">
        <f aca="false">Assumptions!H26</f>
        <v>0.08</v>
      </c>
    </row>
    <row r="19" customFormat="false" ht="15" hidden="false" customHeight="true" outlineLevel="0" collapsed="false">
      <c r="A19" s="17" t="s">
        <v>497</v>
      </c>
      <c r="B19" s="61" t="n">
        <f aca="false">Assumptions!C34</f>
        <v>0.12</v>
      </c>
      <c r="C19" s="61" t="n">
        <f aca="false">Assumptions!D34</f>
        <v>0.12</v>
      </c>
      <c r="D19" s="61" t="n">
        <f aca="false">Assumptions!E34</f>
        <v>0.12</v>
      </c>
      <c r="E19" s="61" t="n">
        <f aca="false">Assumptions!F34</f>
        <v>0.12</v>
      </c>
      <c r="F19" s="61" t="n">
        <f aca="false">Assumptions!G34</f>
        <v>0.12</v>
      </c>
      <c r="G19" s="61" t="n">
        <f aca="false">Assumptions!H34</f>
        <v>0.12</v>
      </c>
    </row>
    <row r="20" customFormat="false" ht="15" hidden="false" customHeight="true" outlineLevel="0" collapsed="false">
      <c r="A20" s="17" t="s">
        <v>498</v>
      </c>
      <c r="B20" s="61" t="n">
        <f aca="false">Assumptions!C42</f>
        <v>0.1</v>
      </c>
      <c r="C20" s="61" t="n">
        <f aca="false">Assumptions!D42</f>
        <v>0.1</v>
      </c>
      <c r="D20" s="61" t="n">
        <f aca="false">Assumptions!E42</f>
        <v>0.1</v>
      </c>
      <c r="E20" s="61" t="n">
        <f aca="false">Assumptions!F42</f>
        <v>0.1</v>
      </c>
      <c r="F20" s="61" t="n">
        <f aca="false">Assumptions!G42</f>
        <v>0.1</v>
      </c>
      <c r="G20" s="61" t="n">
        <f aca="false">Assumptions!H42</f>
        <v>0.1</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F8A3D"/>
    <pageSetUpPr fitToPage="false"/>
  </sheetPr>
  <dimension ref="A1:G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328125" defaultRowHeight="14.25" zeroHeight="false" outlineLevelRow="0" outlineLevelCol="0"/>
  <cols>
    <col collapsed="false" customWidth="true" hidden="false" outlineLevel="0" max="1" min="1" style="15" width="38"/>
    <col collapsed="false" customWidth="true" hidden="false" outlineLevel="0" max="7" min="2" style="15" width="13"/>
  </cols>
  <sheetData>
    <row r="1" customFormat="false" ht="24" hidden="false" customHeight="true" outlineLevel="0" collapsed="false">
      <c r="A1" s="16" t="s">
        <v>499</v>
      </c>
      <c r="B1" s="16"/>
      <c r="C1" s="16"/>
      <c r="D1" s="16"/>
      <c r="E1" s="16"/>
      <c r="F1" s="16"/>
      <c r="G1" s="16"/>
    </row>
    <row r="2" customFormat="false" ht="15" hidden="false" customHeight="true" outlineLevel="0" collapsed="false">
      <c r="A2" s="17"/>
      <c r="B2" s="17"/>
      <c r="C2" s="17"/>
      <c r="D2" s="17"/>
      <c r="E2" s="17"/>
      <c r="F2" s="17"/>
      <c r="G2" s="17"/>
    </row>
    <row r="3" customFormat="false" ht="15" hidden="false" customHeight="true" outlineLevel="0" collapsed="false">
      <c r="A3" s="17"/>
      <c r="B3" s="31" t="s">
        <v>67</v>
      </c>
      <c r="C3" s="31" t="s">
        <v>56</v>
      </c>
      <c r="D3" s="31" t="s">
        <v>57</v>
      </c>
      <c r="E3" s="31" t="s">
        <v>58</v>
      </c>
      <c r="F3" s="31" t="s">
        <v>59</v>
      </c>
      <c r="G3" s="31" t="s">
        <v>60</v>
      </c>
    </row>
    <row r="4" customFormat="false" ht="15" hidden="false" customHeight="true" outlineLevel="0" collapsed="false">
      <c r="A4" s="236" t="s">
        <v>500</v>
      </c>
      <c r="B4" s="236"/>
      <c r="C4" s="236"/>
      <c r="D4" s="236"/>
      <c r="E4" s="236"/>
      <c r="F4" s="236"/>
      <c r="G4" s="236"/>
    </row>
    <row r="5" customFormat="false" ht="15" hidden="false" customHeight="true" outlineLevel="0" collapsed="false">
      <c r="A5" s="17" t="s">
        <v>501</v>
      </c>
      <c r="B5" s="237" t="n">
        <f aca="false">'Revenue Modelling'!$D$4</f>
        <v>19957152</v>
      </c>
      <c r="C5" s="238" t="n">
        <f aca="false">B5*(1+'Proj Drivers'!C16)</f>
        <v>20955009.6</v>
      </c>
      <c r="D5" s="238" t="n">
        <f aca="false">C5*(1+'Proj Drivers'!D16)</f>
        <v>22002760.08</v>
      </c>
      <c r="E5" s="238" t="n">
        <f aca="false">D5*(1+'Proj Drivers'!E16)</f>
        <v>23102898.084</v>
      </c>
      <c r="F5" s="238" t="n">
        <f aca="false">E5*(1+'Proj Drivers'!F16)</f>
        <v>24258042.9882</v>
      </c>
      <c r="G5" s="238" t="n">
        <f aca="false">F5*(1+'Proj Drivers'!G16)</f>
        <v>25470945.13761</v>
      </c>
    </row>
    <row r="6" customFormat="false" ht="15" hidden="false" customHeight="true" outlineLevel="0" collapsed="false">
      <c r="A6" s="17" t="s">
        <v>502</v>
      </c>
      <c r="B6" s="237" t="n">
        <f aca="false">'Revenue Modelling'!$D$6</f>
        <v>14514646</v>
      </c>
      <c r="C6" s="238" t="n">
        <f aca="false">B6*(1+'Proj Drivers'!C17)</f>
        <v>15820964.14</v>
      </c>
      <c r="D6" s="238" t="n">
        <f aca="false">C6*(1+'Proj Drivers'!D17)</f>
        <v>17244850.9126</v>
      </c>
      <c r="E6" s="238" t="n">
        <f aca="false">D6*(1+'Proj Drivers'!E17)</f>
        <v>18796887.494734</v>
      </c>
      <c r="F6" s="238" t="n">
        <f aca="false">E6*(1+'Proj Drivers'!F17)</f>
        <v>20488607.3692601</v>
      </c>
      <c r="G6" s="238" t="n">
        <f aca="false">F6*(1+'Proj Drivers'!G17)</f>
        <v>22332582.0324935</v>
      </c>
    </row>
    <row r="7" customFormat="false" ht="15" hidden="false" customHeight="true" outlineLevel="0" collapsed="false">
      <c r="A7" s="17" t="s">
        <v>238</v>
      </c>
      <c r="B7" s="237" t="n">
        <f aca="false">'Revenue Modelling'!$D$8</f>
        <v>5357521</v>
      </c>
      <c r="C7" s="238" t="n">
        <f aca="false">B7*(1+'Proj Drivers'!C18)</f>
        <v>5786122.68</v>
      </c>
      <c r="D7" s="238" t="n">
        <f aca="false">C7*(1+'Proj Drivers'!D18)</f>
        <v>6249012.4944</v>
      </c>
      <c r="E7" s="238" t="n">
        <f aca="false">D7*(1+'Proj Drivers'!E18)</f>
        <v>6748933.493952</v>
      </c>
      <c r="F7" s="238" t="n">
        <f aca="false">E7*(1+'Proj Drivers'!F18)</f>
        <v>7288848.17346816</v>
      </c>
      <c r="G7" s="238" t="n">
        <f aca="false">F7*(1+'Proj Drivers'!G18)</f>
        <v>7871956.02734562</v>
      </c>
    </row>
    <row r="8" customFormat="false" ht="15" hidden="false" customHeight="true" outlineLevel="0" collapsed="false">
      <c r="A8" s="17" t="s">
        <v>239</v>
      </c>
      <c r="B8" s="237" t="n">
        <f aca="false">'Revenue Modelling'!$D$10</f>
        <v>5353717</v>
      </c>
      <c r="C8" s="238" t="n">
        <f aca="false">B8*(1+'Proj Drivers'!C19)</f>
        <v>5996163.04</v>
      </c>
      <c r="D8" s="238" t="n">
        <f aca="false">C8*(1+'Proj Drivers'!D19)</f>
        <v>6715702.6048</v>
      </c>
      <c r="E8" s="238" t="n">
        <f aca="false">D8*(1+'Proj Drivers'!E19)</f>
        <v>7521586.917376</v>
      </c>
      <c r="F8" s="238" t="n">
        <f aca="false">E8*(1+'Proj Drivers'!F19)</f>
        <v>8424177.34746112</v>
      </c>
      <c r="G8" s="238" t="n">
        <f aca="false">F8*(1+'Proj Drivers'!G19)</f>
        <v>9435078.62915646</v>
      </c>
    </row>
    <row r="9" customFormat="false" ht="15" hidden="false" customHeight="true" outlineLevel="0" collapsed="false">
      <c r="A9" s="30" t="s">
        <v>503</v>
      </c>
      <c r="B9" s="239" t="n">
        <f aca="false">SUM(B5:B8)</f>
        <v>45183036</v>
      </c>
      <c r="C9" s="239" t="n">
        <f aca="false">SUM(C5:C8)</f>
        <v>48558259.46</v>
      </c>
      <c r="D9" s="239" t="n">
        <f aca="false">SUM(D5:D8)</f>
        <v>52212326.0918</v>
      </c>
      <c r="E9" s="239" t="n">
        <f aca="false">SUM(E5:E8)</f>
        <v>56170305.990062</v>
      </c>
      <c r="F9" s="239" t="n">
        <f aca="false">SUM(F5:F8)</f>
        <v>60459675.8783894</v>
      </c>
      <c r="G9" s="239" t="n">
        <f aca="false">SUM(G5:G8)</f>
        <v>65110561.8266056</v>
      </c>
    </row>
    <row r="10" customFormat="false" ht="15" hidden="false" customHeight="true" outlineLevel="0" collapsed="false">
      <c r="A10" s="17"/>
      <c r="B10" s="17"/>
      <c r="C10" s="17"/>
      <c r="D10" s="17"/>
      <c r="E10" s="17"/>
      <c r="F10" s="17"/>
      <c r="G10" s="17"/>
    </row>
    <row r="11" customFormat="false" ht="15" hidden="false" customHeight="true" outlineLevel="0" collapsed="false">
      <c r="A11" s="236" t="s">
        <v>504</v>
      </c>
      <c r="B11" s="236"/>
      <c r="C11" s="236"/>
      <c r="D11" s="236"/>
      <c r="E11" s="236"/>
      <c r="F11" s="236"/>
      <c r="G11" s="236"/>
    </row>
    <row r="12" customFormat="false" ht="15" hidden="false" customHeight="true" outlineLevel="0" collapsed="false">
      <c r="A12" s="17" t="s">
        <v>505</v>
      </c>
      <c r="B12" s="237" t="n">
        <f aca="false">'Balance Sheet Input'!$C$10</f>
        <v>32452462</v>
      </c>
      <c r="C12" s="238" t="n">
        <f aca="false">B16</f>
        <v>32778392</v>
      </c>
      <c r="D12" s="238" t="n">
        <f aca="false">C16</f>
        <v>35195474.7</v>
      </c>
      <c r="E12" s="238" t="n">
        <f aca="false">D16</f>
        <v>38284643.92</v>
      </c>
      <c r="F12" s="238" t="n">
        <f aca="false">E16</f>
        <v>41897919.187</v>
      </c>
      <c r="G12" s="238" t="n">
        <f aca="false">F16</f>
        <v>45980116.5432</v>
      </c>
    </row>
    <row r="13" customFormat="false" ht="15" hidden="false" customHeight="true" outlineLevel="0" collapsed="false">
      <c r="A13" s="17" t="s">
        <v>198</v>
      </c>
      <c r="B13" s="237" t="n">
        <f aca="false">-'CFS Input'!$D$6</f>
        <v>17096617</v>
      </c>
      <c r="C13" s="238" t="n">
        <f aca="false">B13*(1+'Proj Drivers'!C20)</f>
        <v>18806278.7</v>
      </c>
      <c r="D13" s="238" t="n">
        <f aca="false">C13*(1+'Proj Drivers'!D20)</f>
        <v>20686906.57</v>
      </c>
      <c r="E13" s="238" t="n">
        <f aca="false">D13*(1+'Proj Drivers'!E20)</f>
        <v>22755597.227</v>
      </c>
      <c r="F13" s="238" t="n">
        <f aca="false">E13*(1+'Proj Drivers'!F20)</f>
        <v>25031156.9497</v>
      </c>
      <c r="G13" s="238" t="n">
        <f aca="false">F13*(1+'Proj Drivers'!G20)</f>
        <v>27534272.64467</v>
      </c>
    </row>
    <row r="14" customFormat="false" ht="15" hidden="false" customHeight="true" outlineLevel="0" collapsed="false">
      <c r="A14" s="17" t="s">
        <v>200</v>
      </c>
      <c r="B14" s="237" t="n">
        <f aca="false">'CFS Input'!$D$8</f>
        <v>16422166</v>
      </c>
      <c r="C14" s="238" t="n">
        <f aca="false">C12*'Model Control'!$C$12</f>
        <v>16389196</v>
      </c>
      <c r="D14" s="238" t="n">
        <f aca="false">D12*'Model Control'!$C$12</f>
        <v>17597737.35</v>
      </c>
      <c r="E14" s="238" t="n">
        <f aca="false">E12*'Model Control'!$C$12</f>
        <v>19142321.96</v>
      </c>
      <c r="F14" s="238" t="n">
        <f aca="false">F12*'Model Control'!$C$12</f>
        <v>20948959.5935</v>
      </c>
      <c r="G14" s="238" t="n">
        <f aca="false">G12*'Model Control'!$C$12</f>
        <v>22990058.2716</v>
      </c>
    </row>
    <row r="15" customFormat="false" ht="15" hidden="false" customHeight="true" outlineLevel="0" collapsed="false">
      <c r="A15" s="17"/>
      <c r="B15" s="17"/>
      <c r="C15" s="17"/>
      <c r="D15" s="17"/>
      <c r="E15" s="17"/>
      <c r="F15" s="17"/>
      <c r="G15" s="17"/>
    </row>
    <row r="16" customFormat="false" ht="15" hidden="false" customHeight="true" outlineLevel="0" collapsed="false">
      <c r="A16" s="30" t="s">
        <v>506</v>
      </c>
      <c r="B16" s="240" t="n">
        <f aca="false">'Balance Sheet Input'!$D$10</f>
        <v>32778392</v>
      </c>
      <c r="C16" s="239" t="n">
        <f aca="false">C12+C13-C14</f>
        <v>35195474.7</v>
      </c>
      <c r="D16" s="239" t="n">
        <f aca="false">D12+D13-D14</f>
        <v>38284643.92</v>
      </c>
      <c r="E16" s="239" t="n">
        <f aca="false">E12+E13-E14</f>
        <v>41897919.187</v>
      </c>
      <c r="F16" s="239" t="n">
        <f aca="false">F12+F13-F14</f>
        <v>45980116.5432</v>
      </c>
      <c r="G16" s="239" t="n">
        <f aca="false">G12+G13-G14</f>
        <v>50524330.91627</v>
      </c>
    </row>
    <row r="17" customFormat="false" ht="15" hidden="false" customHeight="true" outlineLevel="0" collapsed="false">
      <c r="A17" s="17"/>
      <c r="B17" s="17"/>
      <c r="C17" s="17"/>
      <c r="D17" s="17"/>
      <c r="E17" s="17"/>
      <c r="F17" s="17"/>
      <c r="G17" s="17"/>
    </row>
    <row r="18" customFormat="false" ht="15" hidden="false" customHeight="true" outlineLevel="0" collapsed="false">
      <c r="A18" s="236" t="s">
        <v>507</v>
      </c>
      <c r="B18" s="236"/>
      <c r="C18" s="236"/>
      <c r="D18" s="236"/>
      <c r="E18" s="236"/>
      <c r="F18" s="236"/>
      <c r="G18" s="236"/>
    </row>
    <row r="19" customFormat="false" ht="15" hidden="false" customHeight="true" outlineLevel="0" collapsed="false">
      <c r="A19" s="17" t="s">
        <v>505</v>
      </c>
      <c r="B19" s="237" t="n">
        <f aca="false">'Balance Sheet Input'!$C$11</f>
        <v>1593756</v>
      </c>
      <c r="C19" s="238" t="n">
        <f aca="false">B22</f>
        <v>2004350</v>
      </c>
      <c r="D19" s="238" t="n">
        <f aca="false">C22</f>
        <v>2313445.00469895</v>
      </c>
      <c r="E19" s="238" t="n">
        <f aca="false">D22</f>
        <v>2612693.1349459</v>
      </c>
      <c r="F19" s="238" t="n">
        <f aca="false">E22</f>
        <v>2908712.90292543</v>
      </c>
      <c r="G19" s="238" t="n">
        <f aca="false">F22</f>
        <v>3207150.48172994</v>
      </c>
    </row>
    <row r="20" customFormat="false" ht="15" hidden="false" customHeight="true" outlineLevel="0" collapsed="false">
      <c r="A20" s="17" t="s">
        <v>508</v>
      </c>
      <c r="B20" s="237" t="n">
        <f aca="false">-'CFS Input'!$D$23</f>
        <v>688220</v>
      </c>
      <c r="C20" s="238" t="n">
        <f aca="false">C9*'Model Control'!$C$10</f>
        <v>728373.8919</v>
      </c>
      <c r="D20" s="238" t="n">
        <f aca="false">D9*'Model Control'!$C$10</f>
        <v>783184.891377</v>
      </c>
      <c r="E20" s="238" t="n">
        <f aca="false">E9*'Model Control'!$C$10</f>
        <v>842554.58985093</v>
      </c>
      <c r="F20" s="238" t="n">
        <f aca="false">F9*'Model Control'!$C$10</f>
        <v>906895.13817584</v>
      </c>
      <c r="G20" s="238" t="n">
        <f aca="false">G9*'Model Control'!$C$10</f>
        <v>976658.427399083</v>
      </c>
    </row>
    <row r="21" customFormat="false" ht="15" hidden="false" customHeight="true" outlineLevel="0" collapsed="false">
      <c r="A21" s="17" t="s">
        <v>509</v>
      </c>
      <c r="B21" s="237" t="n">
        <f aca="false">Schedules!$D$6</f>
        <v>115710</v>
      </c>
      <c r="C21" s="238" t="n">
        <f aca="false">C19*'Model Control'!$C$11</f>
        <v>419278.887201052</v>
      </c>
      <c r="D21" s="238" t="n">
        <f aca="false">D19*'Model Control'!$C$11</f>
        <v>483936.761130046</v>
      </c>
      <c r="E21" s="238" t="n">
        <f aca="false">E19*'Model Control'!$C$11</f>
        <v>546534.821871403</v>
      </c>
      <c r="F21" s="238" t="n">
        <f aca="false">F19*'Model Control'!$C$11</f>
        <v>608457.559371325</v>
      </c>
      <c r="G21" s="238" t="n">
        <f aca="false">G19*'Model Control'!$C$11</f>
        <v>670886.065340908</v>
      </c>
    </row>
    <row r="22" customFormat="false" ht="15" hidden="false" customHeight="true" outlineLevel="0" collapsed="false">
      <c r="A22" s="30" t="s">
        <v>510</v>
      </c>
      <c r="B22" s="240" t="n">
        <f aca="false">'Balance Sheet Input'!$D$11</f>
        <v>2004350</v>
      </c>
      <c r="C22" s="239" t="n">
        <f aca="false">C19+C20-C21</f>
        <v>2313445.00469895</v>
      </c>
      <c r="D22" s="239" t="n">
        <f aca="false">D19+D20-D21</f>
        <v>2612693.1349459</v>
      </c>
      <c r="E22" s="239" t="n">
        <f aca="false">E19+E20-E21</f>
        <v>2908712.90292543</v>
      </c>
      <c r="F22" s="239" t="n">
        <f aca="false">F19+F20-F21</f>
        <v>3207150.48172994</v>
      </c>
      <c r="G22" s="239" t="n">
        <f aca="false">G19+G20-G21</f>
        <v>3512922.84378812</v>
      </c>
    </row>
    <row r="23" customFormat="false" ht="15" hidden="false" customHeight="true" outlineLevel="0" collapsed="false">
      <c r="A23" s="17"/>
      <c r="B23" s="17"/>
      <c r="C23" s="17"/>
      <c r="D23" s="17"/>
      <c r="E23" s="17"/>
      <c r="F23" s="17"/>
      <c r="G23" s="17"/>
    </row>
    <row r="24" customFormat="false" ht="15" hidden="false" customHeight="true" outlineLevel="0" collapsed="false">
      <c r="A24" s="236" t="s">
        <v>511</v>
      </c>
      <c r="B24" s="236"/>
      <c r="C24" s="236"/>
      <c r="D24" s="236"/>
      <c r="E24" s="236"/>
      <c r="F24" s="236"/>
      <c r="G24" s="236"/>
    </row>
    <row r="25" customFormat="false" ht="15" hidden="false" customHeight="true" outlineLevel="0" collapsed="false">
      <c r="A25" s="17" t="s">
        <v>512</v>
      </c>
      <c r="B25" s="237" t="n">
        <f aca="false">'Balance Sheet Input'!$C$21+'Balance Sheet Input'!$C$24</f>
        <v>15582804</v>
      </c>
      <c r="C25" s="238" t="n">
        <f aca="false">B28</f>
        <v>14462836</v>
      </c>
      <c r="D25" s="238" t="n">
        <f aca="false">C28</f>
        <v>13462836</v>
      </c>
      <c r="E25" s="238" t="n">
        <f aca="false">D28</f>
        <v>11936836</v>
      </c>
      <c r="F25" s="238" t="n">
        <f aca="false">E28</f>
        <v>8436836</v>
      </c>
      <c r="G25" s="238" t="n">
        <f aca="false">F28</f>
        <v>4035836</v>
      </c>
    </row>
    <row r="26" customFormat="false" ht="15" hidden="false" customHeight="true" outlineLevel="0" collapsed="false">
      <c r="A26" s="17" t="s">
        <v>513</v>
      </c>
      <c r="B26" s="237" t="n">
        <f aca="false">-'CFS Input'!$D$31</f>
        <v>1833450</v>
      </c>
      <c r="C26" s="241" t="n">
        <v>1000000</v>
      </c>
      <c r="D26" s="241" t="n">
        <v>1526000</v>
      </c>
      <c r="E26" s="241" t="n">
        <v>3500000</v>
      </c>
      <c r="F26" s="241" t="n">
        <v>4401000</v>
      </c>
      <c r="G26" s="241" t="n">
        <v>2292000</v>
      </c>
    </row>
    <row r="27" customFormat="false" ht="15" hidden="false" customHeight="true" outlineLevel="0" collapsed="false">
      <c r="A27" s="17" t="s">
        <v>514</v>
      </c>
      <c r="B27" s="241" t="n">
        <v>0</v>
      </c>
      <c r="C27" s="241" t="n">
        <v>0</v>
      </c>
      <c r="D27" s="241" t="n">
        <v>0</v>
      </c>
      <c r="E27" s="241" t="n">
        <v>0</v>
      </c>
      <c r="F27" s="241" t="n">
        <v>0</v>
      </c>
      <c r="G27" s="241" t="n">
        <v>0</v>
      </c>
    </row>
    <row r="28" customFormat="false" ht="15" hidden="false" customHeight="true" outlineLevel="0" collapsed="false">
      <c r="A28" s="30" t="s">
        <v>515</v>
      </c>
      <c r="B28" s="240" t="n">
        <f aca="false">'Balance Sheet Input'!$D$21+'Balance Sheet Input'!$D$24</f>
        <v>14462836</v>
      </c>
      <c r="C28" s="239" t="n">
        <f aca="false">C25-C26+C27</f>
        <v>13462836</v>
      </c>
      <c r="D28" s="239" t="n">
        <f aca="false">D25-D26+D27</f>
        <v>11936836</v>
      </c>
      <c r="E28" s="239" t="n">
        <f aca="false">E25-E26+E27</f>
        <v>8436836</v>
      </c>
      <c r="F28" s="239" t="n">
        <f aca="false">F25-F26+F27</f>
        <v>4035836</v>
      </c>
      <c r="G28" s="239" t="n">
        <f aca="false">G25-G26+G27</f>
        <v>1743836</v>
      </c>
    </row>
    <row r="29" customFormat="false" ht="15" hidden="false" customHeight="true" outlineLevel="0" collapsed="false">
      <c r="A29" s="17" t="s">
        <v>516</v>
      </c>
      <c r="B29" s="237" t="n">
        <f aca="false">'Balance Sheet Input'!$D$21</f>
        <v>998865</v>
      </c>
      <c r="C29" s="241" t="n">
        <v>1526000</v>
      </c>
      <c r="D29" s="241" t="n">
        <v>3500000</v>
      </c>
      <c r="E29" s="241" t="n">
        <v>4401000</v>
      </c>
      <c r="F29" s="241" t="n">
        <v>2292000</v>
      </c>
      <c r="G29" s="241" t="n">
        <v>0</v>
      </c>
    </row>
    <row r="30" customFormat="false" ht="15" hidden="false" customHeight="true" outlineLevel="0" collapsed="false">
      <c r="A30" s="17" t="s">
        <v>517</v>
      </c>
      <c r="B30" s="237" t="n">
        <f aca="false">'Balance Sheet Input'!$D$24</f>
        <v>13463971</v>
      </c>
      <c r="C30" s="238" t="n">
        <f aca="false">C28-C29</f>
        <v>11936836</v>
      </c>
      <c r="D30" s="238" t="n">
        <f aca="false">D28-D29</f>
        <v>8436836</v>
      </c>
      <c r="E30" s="238" t="n">
        <f aca="false">E28-E29</f>
        <v>4035836</v>
      </c>
      <c r="F30" s="238" t="n">
        <f aca="false">F28-F29</f>
        <v>1743836</v>
      </c>
      <c r="G30" s="238" t="n">
        <f aca="false">G28-G29</f>
        <v>1743836</v>
      </c>
    </row>
    <row r="31" customFormat="false" ht="15" hidden="false" customHeight="true" outlineLevel="0" collapsed="false">
      <c r="A31" s="17" t="s">
        <v>518</v>
      </c>
      <c r="B31" s="237" t="n">
        <f aca="false">AVERAGE(B25,B28)</f>
        <v>15022820</v>
      </c>
      <c r="C31" s="238" t="n">
        <f aca="false">AVERAGE(C25,C28)</f>
        <v>13962836</v>
      </c>
      <c r="D31" s="238" t="n">
        <f aca="false">AVERAGE(D25,D28)</f>
        <v>12699836</v>
      </c>
      <c r="E31" s="238" t="n">
        <f aca="false">AVERAGE(E25,E28)</f>
        <v>10186836</v>
      </c>
      <c r="F31" s="238" t="n">
        <f aca="false">AVERAGE(F25,F28)</f>
        <v>6236336</v>
      </c>
      <c r="G31" s="238" t="n">
        <f aca="false">AVERAGE(G25,G28)</f>
        <v>2889836</v>
      </c>
    </row>
    <row r="32" customFormat="false" ht="15" hidden="false" customHeight="true" outlineLevel="0" collapsed="false">
      <c r="A32" s="17" t="s">
        <v>135</v>
      </c>
      <c r="B32" s="237" t="n">
        <f aca="false">-'P&amp;L Input'!$E$11</f>
        <v>776510</v>
      </c>
      <c r="C32" s="238" t="n">
        <f aca="false">C31*'Model Control'!$C$19</f>
        <v>664630.9936</v>
      </c>
      <c r="D32" s="238" t="n">
        <f aca="false">D31*'Model Control'!$C$19</f>
        <v>604512.1936</v>
      </c>
      <c r="E32" s="238" t="n">
        <f aca="false">E31*'Model Control'!$C$19</f>
        <v>484893.3936</v>
      </c>
      <c r="F32" s="238" t="n">
        <f aca="false">F31*'Model Control'!$C$19</f>
        <v>296849.5936</v>
      </c>
      <c r="G32" s="238" t="n">
        <f aca="false">G31*'Model Control'!$C$19</f>
        <v>137556.1936</v>
      </c>
    </row>
    <row r="33" customFormat="false" ht="15" hidden="false" customHeight="true" outlineLevel="0" collapsed="false">
      <c r="A33" s="17"/>
      <c r="B33" s="17"/>
      <c r="C33" s="17"/>
      <c r="D33" s="17"/>
      <c r="E33" s="17"/>
      <c r="F33" s="17"/>
      <c r="G33" s="17"/>
    </row>
    <row r="34" customFormat="false" ht="15" hidden="false" customHeight="true" outlineLevel="0" collapsed="false">
      <c r="A34" s="236" t="s">
        <v>519</v>
      </c>
      <c r="B34" s="236"/>
      <c r="C34" s="236"/>
      <c r="D34" s="236"/>
      <c r="E34" s="236"/>
      <c r="F34" s="236"/>
      <c r="G34" s="236"/>
    </row>
    <row r="35" customFormat="false" ht="15" hidden="false" customHeight="true" outlineLevel="0" collapsed="false">
      <c r="A35" s="17" t="s">
        <v>207</v>
      </c>
      <c r="B35" s="237" t="n">
        <f aca="false">'Balance Sheet Input'!$D$8</f>
        <v>3957832</v>
      </c>
      <c r="C35" s="238" t="n">
        <f aca="false">C9*'Proj Drivers'!C9</f>
        <v>4253509.29565816</v>
      </c>
      <c r="D35" s="238" t="n">
        <f aca="false">D9*'Proj Drivers'!D9</f>
        <v>4521378.59024551</v>
      </c>
      <c r="E35" s="238" t="n">
        <f aca="false">E9*'Proj Drivers'!E9</f>
        <v>4807953.51152535</v>
      </c>
      <c r="F35" s="238" t="n">
        <f aca="false">F9*'Proj Drivers'!F9</f>
        <v>5114646.74060823</v>
      </c>
      <c r="G35" s="238" t="n">
        <f aca="false">G9*'Proj Drivers'!G9</f>
        <v>5442982.52645692</v>
      </c>
    </row>
    <row r="36" customFormat="false" ht="15" hidden="false" customHeight="true" outlineLevel="0" collapsed="false">
      <c r="A36" s="17" t="s">
        <v>520</v>
      </c>
      <c r="B36" s="237" t="n">
        <f aca="false">'Balance Sheet Input'!$D$18</f>
        <v>900612</v>
      </c>
      <c r="C36" s="238" t="n">
        <f aca="false">'Proj Drivers'!C10/365*(C9*'Proj Drivers'!C5)</f>
        <v>967480.455435848</v>
      </c>
      <c r="D36" s="238" t="n">
        <f aca="false">'Proj Drivers'!D10/365*(D9*'Proj Drivers'!D5)</f>
        <v>1041473.71831135</v>
      </c>
      <c r="E36" s="238" t="n">
        <f aca="false">'Proj Drivers'!E10/365*(E9*'Proj Drivers'!E5)</f>
        <v>1121610.14736555</v>
      </c>
      <c r="F36" s="238" t="n">
        <f aca="false">'Proj Drivers'!F10/365*(F9*'Proj Drivers'!F5)</f>
        <v>1208438.68265552</v>
      </c>
      <c r="G36" s="238" t="n">
        <f aca="false">'Proj Drivers'!G10/365*(G9*'Proj Drivers'!G5)</f>
        <v>1293638.58373841</v>
      </c>
    </row>
    <row r="37" customFormat="false" ht="15" hidden="false" customHeight="true" outlineLevel="0" collapsed="false">
      <c r="A37" s="17" t="s">
        <v>521</v>
      </c>
      <c r="B37" s="237" t="n">
        <f aca="false">'Balance Sheet Input'!$D$19</f>
        <v>3220869</v>
      </c>
      <c r="C37" s="238" t="n">
        <f aca="false">C9*'Proj Drivers'!C11</f>
        <v>3412917.2661461</v>
      </c>
      <c r="D37" s="238" t="n">
        <f aca="false">D9*'Proj Drivers'!D11</f>
        <v>3617531.01327036</v>
      </c>
      <c r="E37" s="238" t="n">
        <f aca="false">E9*'Proj Drivers'!E11</f>
        <v>3835589.34453138</v>
      </c>
      <c r="F37" s="238" t="n">
        <f aca="false">F9*'Proj Drivers'!F11</f>
        <v>4068029.29147743</v>
      </c>
      <c r="G37" s="238" t="n">
        <f aca="false">G9*'Proj Drivers'!G11</f>
        <v>4315853.59067655</v>
      </c>
    </row>
    <row r="38" customFormat="false" ht="15" hidden="false" customHeight="true" outlineLevel="0" collapsed="false">
      <c r="A38" s="17" t="s">
        <v>210</v>
      </c>
      <c r="B38" s="237" t="n">
        <f aca="false">'Balance Sheet Input'!$D$20</f>
        <v>1775730</v>
      </c>
      <c r="C38" s="238" t="n">
        <f aca="false">C9*'Proj Drivers'!C12</f>
        <v>1908388.15503746</v>
      </c>
      <c r="D38" s="238" t="n">
        <f aca="false">D9*'Proj Drivers'!D12</f>
        <v>2051996.62773383</v>
      </c>
      <c r="E38" s="238" t="n">
        <f aca="false">E9*'Proj Drivers'!E12</f>
        <v>2151378.88972537</v>
      </c>
      <c r="F38" s="238" t="n">
        <f aca="false">F9*'Proj Drivers'!F12</f>
        <v>2315666.04581819</v>
      </c>
      <c r="G38" s="238" t="n">
        <f aca="false">G9*'Proj Drivers'!G12</f>
        <v>2428689.06669421</v>
      </c>
    </row>
    <row r="39" customFormat="false" ht="15" hidden="false" customHeight="true" outlineLevel="0" collapsed="false">
      <c r="A39" s="17" t="s">
        <v>522</v>
      </c>
      <c r="B39" s="237" t="n">
        <f aca="false">'Balance Sheet Input'!$D$17</f>
        <v>4084854</v>
      </c>
      <c r="C39" s="238" t="n">
        <f aca="false">C9*'Model Control'!$C$13</f>
        <v>4370243.3514</v>
      </c>
      <c r="D39" s="238" t="n">
        <f aca="false">D9*'Model Control'!$C$13</f>
        <v>4699109.348262</v>
      </c>
      <c r="E39" s="238" t="n">
        <f aca="false">E9*'Model Control'!$C$13</f>
        <v>5055327.53910558</v>
      </c>
      <c r="F39" s="238" t="n">
        <f aca="false">F9*'Model Control'!$C$13</f>
        <v>5441370.82905504</v>
      </c>
      <c r="G39" s="238" t="n">
        <f aca="false">G9*'Model Control'!$C$13</f>
        <v>5859950.5643945</v>
      </c>
    </row>
    <row r="40" customFormat="false" ht="15" hidden="false" customHeight="true" outlineLevel="0" collapsed="false">
      <c r="A40" s="17" t="s">
        <v>184</v>
      </c>
      <c r="B40" s="237" t="n">
        <f aca="false">'Balance Sheet Input'!$D$23</f>
        <v>1579476</v>
      </c>
      <c r="C40" s="238" t="n">
        <f aca="false">C9*'Model Control'!$C$14</f>
        <v>1699539.0811</v>
      </c>
      <c r="D40" s="238" t="n">
        <f aca="false">D9*'Model Control'!$C$14</f>
        <v>1827431.413213</v>
      </c>
      <c r="E40" s="238" t="n">
        <f aca="false">E9*'Model Control'!$C$14</f>
        <v>1965960.70965217</v>
      </c>
      <c r="F40" s="238" t="n">
        <f aca="false">F9*'Model Control'!$C$14</f>
        <v>2116088.65574363</v>
      </c>
      <c r="G40" s="238" t="n">
        <f aca="false">G9*'Model Control'!$C$14</f>
        <v>2278869.66393119</v>
      </c>
    </row>
    <row r="41" customFormat="false" ht="15" hidden="false" customHeight="true" outlineLevel="0" collapsed="false">
      <c r="A41" s="17" t="s">
        <v>523</v>
      </c>
      <c r="B41" s="237" t="n">
        <f aca="false">'Balance Sheet Input'!$D$12</f>
        <v>7794060</v>
      </c>
      <c r="C41" s="238" t="n">
        <f aca="false">C9*'Model Control'!$C$15</f>
        <v>8376299.75685</v>
      </c>
      <c r="D41" s="238" t="n">
        <f aca="false">D9*'Model Control'!$C$15</f>
        <v>9006626.2508355</v>
      </c>
      <c r="E41" s="238" t="n">
        <f aca="false">E9*'Model Control'!$C$15</f>
        <v>9689377.7832857</v>
      </c>
      <c r="F41" s="238" t="n">
        <f aca="false">F9*'Model Control'!$C$15</f>
        <v>10429294.0890222</v>
      </c>
      <c r="G41" s="238" t="n">
        <f aca="false">G9*'Model Control'!$C$15</f>
        <v>11231571.9150895</v>
      </c>
    </row>
    <row r="42" customFormat="false" ht="15" hidden="false" customHeight="true" outlineLevel="0" collapsed="false">
      <c r="A42" s="17" t="s">
        <v>524</v>
      </c>
      <c r="B42" s="237" t="n">
        <f aca="false">'Balance Sheet Input'!$D$25</f>
        <v>2957128</v>
      </c>
      <c r="C42" s="238" t="n">
        <f aca="false">C9*'Model Control'!$C$16</f>
        <v>3180565.99463</v>
      </c>
      <c r="D42" s="238" t="n">
        <f aca="false">D9*'Model Control'!$C$16</f>
        <v>3419907.3590129</v>
      </c>
      <c r="E42" s="238" t="n">
        <f aca="false">E9*'Model Control'!$C$16</f>
        <v>3679155.04234906</v>
      </c>
      <c r="F42" s="238" t="n">
        <f aca="false">F9*'Model Control'!$C$16</f>
        <v>3960108.7700345</v>
      </c>
      <c r="G42" s="238" t="n">
        <f aca="false">G9*'Model Control'!$C$16</f>
        <v>4264741.79964266</v>
      </c>
    </row>
    <row r="43" customFormat="false" ht="15" hidden="false" customHeight="true" outlineLevel="0" collapsed="false">
      <c r="A43" s="17" t="s">
        <v>167</v>
      </c>
      <c r="B43" s="237" t="n">
        <f aca="false">'Balance Sheet Input'!$D$7</f>
        <v>28678</v>
      </c>
      <c r="C43" s="238" t="n">
        <f aca="false">'Model Control'!$C$20</f>
        <v>28678</v>
      </c>
      <c r="D43" s="238" t="n">
        <f aca="false">'Model Control'!$C$20</f>
        <v>28678</v>
      </c>
      <c r="E43" s="238" t="n">
        <f aca="false">'Model Control'!$C$20</f>
        <v>28678</v>
      </c>
      <c r="F43" s="238" t="n">
        <f aca="false">'Model Control'!$C$20</f>
        <v>28678</v>
      </c>
      <c r="G43" s="238" t="n">
        <f aca="false">'Model Control'!$C$20</f>
        <v>28678</v>
      </c>
    </row>
    <row r="44" customFormat="false" ht="15" hidden="false" customHeight="true" outlineLevel="0" collapsed="false">
      <c r="A44" s="17"/>
      <c r="B44" s="17"/>
      <c r="C44" s="17"/>
      <c r="D44" s="17"/>
      <c r="E44" s="17"/>
      <c r="F44" s="17"/>
      <c r="G44" s="17"/>
    </row>
    <row r="45" customFormat="false" ht="15" hidden="false" customHeight="true" outlineLevel="0" collapsed="false">
      <c r="A45" s="236" t="s">
        <v>525</v>
      </c>
      <c r="B45" s="236"/>
      <c r="C45" s="236"/>
      <c r="D45" s="236"/>
      <c r="E45" s="236"/>
      <c r="F45" s="236"/>
      <c r="G45" s="236"/>
    </row>
    <row r="46" customFormat="false" ht="15" hidden="false" customHeight="true" outlineLevel="0" collapsed="false">
      <c r="A46" s="17" t="s">
        <v>526</v>
      </c>
      <c r="B46" s="237" t="n">
        <f aca="false">'CFS Input'!$D$10</f>
        <v>368449</v>
      </c>
      <c r="C46" s="238" t="n">
        <f aca="false">C9*'Model Control'!$C$17</f>
        <v>398177.727572</v>
      </c>
      <c r="D46" s="238" t="n">
        <f aca="false">D9*'Model Control'!$C$17</f>
        <v>428141.07395276</v>
      </c>
      <c r="E46" s="238" t="n">
        <f aca="false">E9*'Model Control'!$C$17</f>
        <v>460596.509118509</v>
      </c>
      <c r="F46" s="238" t="n">
        <f aca="false">F9*'Model Control'!$C$17</f>
        <v>495769.342202793</v>
      </c>
      <c r="G46" s="238" t="n">
        <f aca="false">G9*'Model Control'!$C$17</f>
        <v>533906.606978166</v>
      </c>
    </row>
    <row r="47" customFormat="false" ht="15" hidden="false" customHeight="true" outlineLevel="0" collapsed="false">
      <c r="A47" s="17" t="s">
        <v>527</v>
      </c>
      <c r="B47" s="237" t="n">
        <f aca="false">'CFS Input'!$D$32</f>
        <v>666965</v>
      </c>
      <c r="C47" s="238" t="n">
        <f aca="false">C9*'Model Control'!$C$18</f>
        <v>718662.240008</v>
      </c>
      <c r="D47" s="238" t="n">
        <f aca="false">D9*'Model Control'!$C$18</f>
        <v>772742.42615864</v>
      </c>
      <c r="E47" s="238" t="n">
        <f aca="false">E9*'Model Control'!$C$18</f>
        <v>831320.528652918</v>
      </c>
      <c r="F47" s="238" t="n">
        <f aca="false">F9*'Model Control'!$C$18</f>
        <v>894803.203000163</v>
      </c>
      <c r="G47" s="238" t="n">
        <f aca="false">G9*'Model Control'!$C$18</f>
        <v>963636.315033762</v>
      </c>
    </row>
    <row r="48" customFormat="false" ht="15" hidden="false" customHeight="true" outlineLevel="0" collapsed="false">
      <c r="A48" s="17" t="s">
        <v>528</v>
      </c>
      <c r="B48" s="237" t="n">
        <f aca="false">-'CFS Input'!$D$33</f>
        <v>9127167</v>
      </c>
      <c r="C48" s="237" t="n">
        <f aca="false">'Model Control'!C23</f>
        <v>9127167</v>
      </c>
      <c r="D48" s="237" t="n">
        <f aca="false">'Model Control'!D23</f>
        <v>9127167</v>
      </c>
      <c r="E48" s="237" t="n">
        <f aca="false">'Model Control'!E23</f>
        <v>9127167</v>
      </c>
      <c r="F48" s="237" t="n">
        <f aca="false">'Model Control'!F23</f>
        <v>9127167</v>
      </c>
      <c r="G48" s="237" t="n">
        <f aca="false">'Model Control'!G23</f>
        <v>9127167</v>
      </c>
    </row>
    <row r="49" customFormat="false" ht="15" hidden="false" customHeight="true" outlineLevel="0" collapsed="false">
      <c r="A49" s="17" t="s">
        <v>529</v>
      </c>
      <c r="B49" s="237" t="n">
        <f aca="false">'Balance Sheet Input'!$D$28</f>
        <v>7286410</v>
      </c>
      <c r="C49" s="238" t="n">
        <f aca="false">B49+C46+C47</f>
        <v>8403249.96758</v>
      </c>
      <c r="D49" s="238" t="n">
        <f aca="false">C49+D46+D47</f>
        <v>9604133.4676914</v>
      </c>
      <c r="E49" s="238" t="n">
        <f aca="false">D49+E46+E47</f>
        <v>10896050.5054628</v>
      </c>
      <c r="F49" s="238" t="n">
        <f aca="false">E49+F46+F47</f>
        <v>12286623.0506658</v>
      </c>
      <c r="G49" s="238" t="n">
        <f aca="false">F49+G46+G47</f>
        <v>13784165.9726777</v>
      </c>
    </row>
    <row r="50" customFormat="false" ht="15" hidden="false" customHeight="true" outlineLevel="0" collapsed="false">
      <c r="A50" s="17" t="s">
        <v>530</v>
      </c>
      <c r="B50" s="237" t="n">
        <f aca="false">'Balance Sheet Input'!$D$29</f>
        <v>-22372658</v>
      </c>
      <c r="C50" s="238" t="n">
        <f aca="false">B50-C48</f>
        <v>-31499825</v>
      </c>
      <c r="D50" s="238" t="n">
        <f aca="false">C50-D48</f>
        <v>-40626992</v>
      </c>
      <c r="E50" s="238" t="n">
        <f aca="false">D50-E48</f>
        <v>-49754159</v>
      </c>
      <c r="F50" s="238" t="n">
        <f aca="false">E50-F48</f>
        <v>-58881326</v>
      </c>
      <c r="G50" s="238" t="n">
        <f aca="false">F50-G48</f>
        <v>-68008493</v>
      </c>
    </row>
    <row r="51" customFormat="false" ht="15" hidden="false" customHeight="true" outlineLevel="0" collapsed="false">
      <c r="A51" s="17" t="s">
        <v>531</v>
      </c>
      <c r="B51" s="237" t="n">
        <f aca="false">'Balance Sheet Input'!$D$30</f>
        <v>-580382</v>
      </c>
      <c r="C51" s="238" t="n">
        <f aca="false">B51</f>
        <v>-580382</v>
      </c>
      <c r="D51" s="238" t="n">
        <f aca="false">C51</f>
        <v>-580382</v>
      </c>
      <c r="E51" s="238" t="n">
        <f aca="false">D51</f>
        <v>-580382</v>
      </c>
      <c r="F51" s="238" t="n">
        <f aca="false">E51</f>
        <v>-580382</v>
      </c>
      <c r="G51" s="238" t="n">
        <f aca="false">F51</f>
        <v>-580382</v>
      </c>
    </row>
    <row r="52" customFormat="false" ht="15" hidden="false" customHeight="true" outlineLevel="0" collapsed="false">
      <c r="A52" s="17" t="s">
        <v>532</v>
      </c>
      <c r="B52" s="237" t="n">
        <f aca="false">'Balance Sheet Input'!$D$31</f>
        <v>42282118</v>
      </c>
      <c r="C52" s="238" t="n">
        <f aca="false">B52+'Projected PnL'!C13</f>
        <v>54323003.4057379</v>
      </c>
      <c r="D52" s="238" t="n">
        <f aca="false">C52+'Projected PnL'!D13</f>
        <v>67653765.2580598</v>
      </c>
      <c r="E52" s="238" t="n">
        <f aca="false">D52+'Projected PnL'!E13</f>
        <v>82445435.7026088</v>
      </c>
      <c r="F52" s="238" t="n">
        <f aca="false">E52+'Projected PnL'!F13</f>
        <v>98867434.1980904</v>
      </c>
      <c r="G52" s="238" t="n">
        <f aca="false">F52+'Projected PnL'!G13</f>
        <v>117062033.820619</v>
      </c>
    </row>
  </sheetData>
  <mergeCells count="7">
    <mergeCell ref="A1:G1"/>
    <mergeCell ref="A4:G4"/>
    <mergeCell ref="A11:G11"/>
    <mergeCell ref="A18:G18"/>
    <mergeCell ref="A24:G24"/>
    <mergeCell ref="A34:G34"/>
    <mergeCell ref="A45:G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328125" defaultRowHeight="14.25" zeroHeight="false" outlineLevelRow="0" outlineLevelCol="0"/>
  <cols>
    <col collapsed="false" customWidth="true" hidden="false" outlineLevel="0" max="1" min="1" style="15" width="36"/>
    <col collapsed="false" customWidth="true" hidden="false" outlineLevel="0" max="7" min="2" style="15" width="13"/>
  </cols>
  <sheetData>
    <row r="1" customFormat="false" ht="24" hidden="false" customHeight="true" outlineLevel="0" collapsed="false">
      <c r="A1" s="16" t="s">
        <v>533</v>
      </c>
      <c r="B1" s="16"/>
      <c r="C1" s="16"/>
      <c r="D1" s="16"/>
      <c r="E1" s="16"/>
      <c r="F1" s="16"/>
      <c r="G1" s="16"/>
    </row>
    <row r="2" customFormat="false" ht="14.25" hidden="false" customHeight="true" outlineLevel="0" collapsed="false">
      <c r="A2" s="23" t="str">
        <f aca="false">CONCATENATE("Scenario: ",'Model Control'!$C$4)</f>
        <v>Scenario: Neutral Case</v>
      </c>
      <c r="B2" s="17"/>
      <c r="C2" s="17"/>
      <c r="D2" s="17"/>
      <c r="E2" s="17"/>
      <c r="F2" s="17"/>
      <c r="G2" s="17"/>
    </row>
    <row r="3" customFormat="false" ht="14.25" hidden="false" customHeight="true" outlineLevel="0" collapsed="false">
      <c r="A3" s="17"/>
      <c r="B3" s="31" t="s">
        <v>67</v>
      </c>
      <c r="C3" s="31" t="s">
        <v>56</v>
      </c>
      <c r="D3" s="31" t="s">
        <v>57</v>
      </c>
      <c r="E3" s="31" t="s">
        <v>58</v>
      </c>
      <c r="F3" s="31" t="s">
        <v>59</v>
      </c>
      <c r="G3" s="31" t="s">
        <v>60</v>
      </c>
    </row>
    <row r="4" customFormat="false" ht="14.25" hidden="false" customHeight="true" outlineLevel="0" collapsed="false">
      <c r="A4" s="17" t="s">
        <v>128</v>
      </c>
      <c r="B4" s="237" t="n">
        <f aca="false">'P&amp;L Input'!$E$3</f>
        <v>45183036</v>
      </c>
      <c r="C4" s="238" t="n">
        <f aca="false">'Proj Schedules'!C9</f>
        <v>48558259.46</v>
      </c>
      <c r="D4" s="238" t="n">
        <f aca="false">'Proj Schedules'!D9</f>
        <v>52212326.0918</v>
      </c>
      <c r="E4" s="238" t="n">
        <f aca="false">'Proj Schedules'!E9</f>
        <v>56170305.990062</v>
      </c>
      <c r="F4" s="238" t="n">
        <f aca="false">'Proj Schedules'!F9</f>
        <v>60459675.8783894</v>
      </c>
      <c r="G4" s="238" t="n">
        <f aca="false">'Proj Schedules'!G9</f>
        <v>65110561.8266056</v>
      </c>
    </row>
    <row r="5" customFormat="false" ht="14.25" hidden="false" customHeight="true" outlineLevel="0" collapsed="false">
      <c r="A5" s="17" t="s">
        <v>129</v>
      </c>
      <c r="B5" s="237" t="n">
        <f aca="false">'P&amp;L Input'!$E$4</f>
        <v>23275329</v>
      </c>
      <c r="C5" s="238" t="n">
        <f aca="false">'Proj Schedules'!C9*'Proj Drivers'!C5</f>
        <v>24868335.6502876</v>
      </c>
      <c r="D5" s="238" t="n">
        <f aca="false">'Proj Schedules'!D9*'Proj Drivers'!D5</f>
        <v>26583070.4324225</v>
      </c>
      <c r="E5" s="238" t="n">
        <f aca="false">'Proj Schedules'!E9*'Proj Drivers'!E5</f>
        <v>28429701.651974</v>
      </c>
      <c r="F5" s="238" t="n">
        <f aca="false">'Proj Schedules'!F9*'Proj Drivers'!F5</f>
        <v>30419318.5633976</v>
      </c>
      <c r="G5" s="238" t="n">
        <f aca="false">'Proj Schedules'!G9*'Proj Drivers'!G5</f>
        <v>32564005.7285875</v>
      </c>
    </row>
    <row r="6" customFormat="false" ht="14.25" hidden="false" customHeight="true" outlineLevel="0" collapsed="false">
      <c r="A6" s="30" t="s">
        <v>534</v>
      </c>
      <c r="B6" s="240" t="n">
        <f aca="false">B4-B5</f>
        <v>21907707</v>
      </c>
      <c r="C6" s="239" t="n">
        <f aca="false">C4-C5</f>
        <v>23689923.8097124</v>
      </c>
      <c r="D6" s="239" t="n">
        <f aca="false">D4-D5</f>
        <v>25629255.6593775</v>
      </c>
      <c r="E6" s="239" t="n">
        <f aca="false">E4-E5</f>
        <v>27740604.338088</v>
      </c>
      <c r="F6" s="239" t="n">
        <f aca="false">F4-F5</f>
        <v>30040357.3149918</v>
      </c>
      <c r="G6" s="239" t="n">
        <f aca="false">G4-G5</f>
        <v>32546556.098018</v>
      </c>
    </row>
    <row r="7" customFormat="false" ht="14.25" hidden="false" customHeight="true" outlineLevel="0" collapsed="false">
      <c r="A7" s="17" t="s">
        <v>130</v>
      </c>
      <c r="B7" s="237" t="n">
        <f aca="false">'P&amp;L Input'!$E$6</f>
        <v>3301306</v>
      </c>
      <c r="C7" s="238" t="n">
        <f aca="false">'Proj Schedules'!C9*'Proj Drivers'!C6</f>
        <v>3499350.9679849</v>
      </c>
      <c r="D7" s="238" t="n">
        <f aca="false">'Proj Schedules'!D9*'Proj Drivers'!D6</f>
        <v>3710468.95371377</v>
      </c>
      <c r="E7" s="238" t="n">
        <f aca="false">'Proj Schedules'!E9*'Proj Drivers'!E6</f>
        <v>3935572.4891937</v>
      </c>
      <c r="F7" s="238" t="n">
        <f aca="false">'Proj Schedules'!F9*'Proj Drivers'!F6</f>
        <v>4175647.51454096</v>
      </c>
      <c r="G7" s="238" t="n">
        <f aca="false">'Proj Schedules'!G9*'Proj Drivers'!G6</f>
        <v>4431750.39072791</v>
      </c>
    </row>
    <row r="8" customFormat="false" ht="14.25" hidden="false" customHeight="true" outlineLevel="0" collapsed="false">
      <c r="A8" s="17" t="s">
        <v>131</v>
      </c>
      <c r="B8" s="237" t="n">
        <f aca="false">'P&amp;L Input'!$E$7</f>
        <v>3391390</v>
      </c>
      <c r="C8" s="238" t="n">
        <f aca="false">'Proj Schedules'!C9*'Proj Drivers'!C7</f>
        <v>3644734.39680814</v>
      </c>
      <c r="D8" s="238" t="n">
        <f aca="false">'Proj Schedules'!D9*'Proj Drivers'!D7</f>
        <v>3866792.65803262</v>
      </c>
      <c r="E8" s="238" t="n">
        <f aca="false">'Proj Schedules'!E9*'Proj Drivers'!E7</f>
        <v>4103746.38532794</v>
      </c>
      <c r="F8" s="238" t="n">
        <f aca="false">'Proj Schedules'!F9*'Proj Drivers'!F7</f>
        <v>4356663.78412086</v>
      </c>
      <c r="G8" s="238" t="n">
        <f aca="false">'Proj Schedules'!G9*'Proj Drivers'!G7</f>
        <v>4626691.41283676</v>
      </c>
    </row>
    <row r="9" customFormat="false" ht="14.25" hidden="false" customHeight="true" outlineLevel="0" collapsed="false">
      <c r="A9" s="17" t="s">
        <v>132</v>
      </c>
      <c r="B9" s="237" t="n">
        <f aca="false">'P&amp;L Input'!$E$8</f>
        <v>1888408</v>
      </c>
      <c r="C9" s="238" t="n">
        <f aca="false">'Proj Schedules'!C9*'Proj Drivers'!C8</f>
        <v>1980934.1946707</v>
      </c>
      <c r="D9" s="238" t="n">
        <f aca="false">'Proj Schedules'!D9*'Proj Drivers'!D8</f>
        <v>2077789.51682318</v>
      </c>
      <c r="E9" s="238" t="n">
        <f aca="false">'Proj Schedules'!E9*'Proj Drivers'!E8</f>
        <v>2179127.02088446</v>
      </c>
      <c r="F9" s="238" t="n">
        <f aca="false">'Proj Schedules'!F9*'Proj Drivers'!F8</f>
        <v>2285073.44982373</v>
      </c>
      <c r="G9" s="238" t="n">
        <f aca="false">'Proj Schedules'!G9*'Proj Drivers'!G8</f>
        <v>2395743.12240995</v>
      </c>
    </row>
    <row r="10" customFormat="false" ht="14.25" hidden="false" customHeight="true" outlineLevel="0" collapsed="false">
      <c r="A10" s="30" t="s">
        <v>133</v>
      </c>
      <c r="B10" s="240" t="n">
        <f aca="false">B6-B7-B8-B9</f>
        <v>13326603</v>
      </c>
      <c r="C10" s="239" t="n">
        <f aca="false">C6-C7-C8-C9</f>
        <v>14564904.2502486</v>
      </c>
      <c r="D10" s="239" t="n">
        <f aca="false">D6-D7-D8-D9</f>
        <v>15974204.5308079</v>
      </c>
      <c r="E10" s="239" t="n">
        <f aca="false">E6-E7-E8-E9</f>
        <v>17522158.4426819</v>
      </c>
      <c r="F10" s="239" t="n">
        <f aca="false">F6-F7-F8-F9</f>
        <v>19222972.5665063</v>
      </c>
      <c r="G10" s="239" t="n">
        <f aca="false">G6-G7-G8-G9</f>
        <v>21092371.1720434</v>
      </c>
    </row>
    <row r="11" customFormat="false" ht="14.25" hidden="false" customHeight="true" outlineLevel="0" collapsed="false">
      <c r="A11" s="17" t="s">
        <v>135</v>
      </c>
      <c r="B11" s="237" t="n">
        <f aca="false">'P&amp;L Input'!$E$11</f>
        <v>-776510</v>
      </c>
      <c r="C11" s="238" t="n">
        <f aca="false">-'Proj Schedules'!C32</f>
        <v>-664630.9936</v>
      </c>
      <c r="D11" s="238" t="n">
        <f aca="false">-'Proj Schedules'!D32</f>
        <v>-604512.1936</v>
      </c>
      <c r="E11" s="238" t="n">
        <f aca="false">-'Proj Schedules'!E32</f>
        <v>-484893.3936</v>
      </c>
      <c r="F11" s="238" t="n">
        <f aca="false">-'Proj Schedules'!F32</f>
        <v>-296849.5936</v>
      </c>
      <c r="G11" s="238" t="n">
        <f aca="false">-'Proj Schedules'!G32</f>
        <v>-137556.1936</v>
      </c>
    </row>
    <row r="12" customFormat="false" ht="14.25" hidden="false" customHeight="true" outlineLevel="0" collapsed="false">
      <c r="A12" s="17" t="s">
        <v>136</v>
      </c>
      <c r="B12" s="237" t="n">
        <f aca="false">'P&amp;L Input'!$E$12</f>
        <v>172459</v>
      </c>
      <c r="C12" s="238" t="n">
        <f aca="false">'Proj Drivers'!C13</f>
        <v>50000</v>
      </c>
      <c r="D12" s="238" t="n">
        <f aca="false">'Proj Drivers'!D13</f>
        <v>75000</v>
      </c>
      <c r="E12" s="238" t="n">
        <f aca="false">'Proj Drivers'!E13</f>
        <v>100000</v>
      </c>
      <c r="F12" s="238" t="n">
        <f aca="false">'Proj Drivers'!F13</f>
        <v>100000</v>
      </c>
      <c r="G12" s="238" t="n">
        <f aca="false">'Proj Drivers'!G13</f>
        <v>125000</v>
      </c>
    </row>
    <row r="13" customFormat="false" ht="14.25" hidden="false" customHeight="true" outlineLevel="0" collapsed="false">
      <c r="A13" s="30" t="s">
        <v>139</v>
      </c>
      <c r="B13" s="239" t="n">
        <f aca="false">B17+B18</f>
        <v>10981201</v>
      </c>
      <c r="C13" s="239" t="n">
        <f aca="false">C17+C18</f>
        <v>12040885.4057379</v>
      </c>
      <c r="D13" s="239" t="n">
        <f aca="false">D17+D18</f>
        <v>13330761.8523219</v>
      </c>
      <c r="E13" s="239" t="n">
        <f aca="false">E17+E18</f>
        <v>14791670.444549</v>
      </c>
      <c r="F13" s="239" t="n">
        <f aca="false">F17+F18</f>
        <v>16421998.4954816</v>
      </c>
      <c r="G13" s="239" t="n">
        <f aca="false">G17+G18</f>
        <v>18194599.6225289</v>
      </c>
    </row>
    <row r="14" customFormat="false" ht="14.25" hidden="false" customHeight="true" outlineLevel="0" collapsed="false">
      <c r="A14" s="17"/>
      <c r="B14" s="17"/>
      <c r="C14" s="17"/>
      <c r="D14" s="17"/>
      <c r="E14" s="17"/>
      <c r="F14" s="17"/>
      <c r="G14" s="17"/>
    </row>
    <row r="15" customFormat="false" ht="14.25" hidden="false" customHeight="true" outlineLevel="0" collapsed="false">
      <c r="A15" s="233" t="s">
        <v>535</v>
      </c>
      <c r="B15" s="242" t="n">
        <f aca="false">B10/B4</f>
        <v>0.294947046055073</v>
      </c>
      <c r="C15" s="242" t="n">
        <f aca="false">C10/C4</f>
        <v>0.299947</v>
      </c>
      <c r="D15" s="242" t="n">
        <f aca="false">D10/D4</f>
        <v>0.305947</v>
      </c>
      <c r="E15" s="242" t="n">
        <f aca="false">E10/E4</f>
        <v>0.311947</v>
      </c>
      <c r="F15" s="242" t="n">
        <f aca="false">F10/F4</f>
        <v>0.317947</v>
      </c>
      <c r="G15" s="242" t="n">
        <f aca="false">G10/G4</f>
        <v>0.323947</v>
      </c>
    </row>
    <row r="16" customFormat="false" ht="14.25" hidden="false" customHeight="true" outlineLevel="0" collapsed="false">
      <c r="A16" s="233" t="s">
        <v>536</v>
      </c>
      <c r="B16" s="242" t="n">
        <f aca="false">B13/B4</f>
        <v>0.24303813935832</v>
      </c>
      <c r="C16" s="242" t="n">
        <f aca="false">C13/C4</f>
        <v>0.247967813089688</v>
      </c>
      <c r="D16" s="242" t="n">
        <f aca="false">D13/D4</f>
        <v>0.255318290720925</v>
      </c>
      <c r="E16" s="242" t="n">
        <f aca="false">E13/E4</f>
        <v>0.263336120105275</v>
      </c>
      <c r="F16" s="242" t="n">
        <f aca="false">F13/F4</f>
        <v>0.271619029657277</v>
      </c>
      <c r="G16" s="242" t="n">
        <f aca="false">G13/G4</f>
        <v>0.279441600749545</v>
      </c>
    </row>
    <row r="17" customFormat="false" ht="14.25" hidden="false" customHeight="true" outlineLevel="0" collapsed="false">
      <c r="A17" s="17" t="s">
        <v>537</v>
      </c>
      <c r="B17" s="238" t="n">
        <f aca="false">B10+B11+B12</f>
        <v>12722552</v>
      </c>
      <c r="C17" s="238" t="n">
        <f aca="false">C10+C11+C12</f>
        <v>13950273.2566486</v>
      </c>
      <c r="D17" s="238" t="n">
        <f aca="false">D10+D11+D12</f>
        <v>15444692.3372079</v>
      </c>
      <c r="E17" s="238" t="n">
        <f aca="false">E10+E11+E12</f>
        <v>17137265.0490819</v>
      </c>
      <c r="F17" s="238" t="n">
        <f aca="false">F10+F11+F12</f>
        <v>19026122.9729063</v>
      </c>
      <c r="G17" s="238" t="n">
        <f aca="false">G10+G11+G12</f>
        <v>21079814.9784434</v>
      </c>
    </row>
    <row r="18" customFormat="false" ht="14.25" hidden="false" customHeight="true" outlineLevel="0" collapsed="false">
      <c r="A18" s="17" t="s">
        <v>538</v>
      </c>
      <c r="B18" s="237" t="n">
        <f aca="false">'P&amp;L Input'!$E$14</f>
        <v>-1741351</v>
      </c>
      <c r="C18" s="238" t="n">
        <f aca="false">-C17*'Proj Drivers'!C14</f>
        <v>-1909387.85091075</v>
      </c>
      <c r="D18" s="238" t="n">
        <f aca="false">-D17*'Proj Drivers'!D14</f>
        <v>-2113930.48488599</v>
      </c>
      <c r="E18" s="238" t="n">
        <f aca="false">-E17*'Proj Drivers'!E14</f>
        <v>-2345594.60453289</v>
      </c>
      <c r="F18" s="238" t="n">
        <f aca="false">-F17*'Proj Drivers'!F14</f>
        <v>-2604124.47742465</v>
      </c>
      <c r="G18" s="238" t="n">
        <f aca="false">-G17*'Proj Drivers'!G14</f>
        <v>-2885215.35591453</v>
      </c>
    </row>
  </sheetData>
  <mergeCells count="1">
    <mergeCell ref="A1:G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328125" defaultRowHeight="14.25" zeroHeight="false" outlineLevelRow="0" outlineLevelCol="0"/>
  <cols>
    <col collapsed="false" customWidth="true" hidden="false" outlineLevel="0" max="1" min="1" style="15" width="40"/>
    <col collapsed="false" customWidth="true" hidden="false" outlineLevel="0" max="7" min="2" style="15" width="13"/>
  </cols>
  <sheetData>
    <row r="1" customFormat="false" ht="24" hidden="false" customHeight="true" outlineLevel="0" collapsed="false">
      <c r="A1" s="16" t="s">
        <v>539</v>
      </c>
      <c r="B1" s="16"/>
      <c r="C1" s="16"/>
      <c r="D1" s="16"/>
      <c r="E1" s="16"/>
      <c r="F1" s="16"/>
      <c r="G1" s="16"/>
    </row>
    <row r="2" customFormat="false" ht="14.25" hidden="false" customHeight="true" outlineLevel="0" collapsed="false">
      <c r="A2" s="17"/>
      <c r="B2" s="17"/>
      <c r="C2" s="17"/>
      <c r="D2" s="17"/>
      <c r="E2" s="17"/>
      <c r="F2" s="17"/>
      <c r="G2" s="17"/>
    </row>
    <row r="3" customFormat="false" ht="14.25" hidden="false" customHeight="true" outlineLevel="0" collapsed="false">
      <c r="A3" s="17"/>
      <c r="B3" s="31" t="s">
        <v>67</v>
      </c>
      <c r="C3" s="31" t="s">
        <v>56</v>
      </c>
      <c r="D3" s="31" t="s">
        <v>57</v>
      </c>
      <c r="E3" s="31" t="s">
        <v>58</v>
      </c>
      <c r="F3" s="31" t="s">
        <v>59</v>
      </c>
      <c r="G3" s="31" t="s">
        <v>60</v>
      </c>
    </row>
    <row r="4" customFormat="false" ht="14.25" hidden="false" customHeight="true" outlineLevel="0" collapsed="false">
      <c r="A4" s="236" t="s">
        <v>163</v>
      </c>
      <c r="B4" s="236"/>
      <c r="C4" s="236"/>
      <c r="D4" s="236"/>
      <c r="E4" s="236"/>
      <c r="F4" s="236"/>
      <c r="G4" s="236"/>
    </row>
    <row r="5" customFormat="false" ht="14.25" hidden="false" customHeight="true" outlineLevel="0" collapsed="false">
      <c r="A5" s="17" t="s">
        <v>540</v>
      </c>
      <c r="B5" s="237" t="n">
        <f aca="false">'Balance Sheet Input'!$D$6</f>
        <v>9033681</v>
      </c>
      <c r="C5" s="238" t="n">
        <f aca="false">'Projected CFS'!C32</f>
        <v>9480609.91986017</v>
      </c>
      <c r="D5" s="238" t="n">
        <f aca="false">'Projected CFS'!D32</f>
        <v>10190790.3095277</v>
      </c>
      <c r="E5" s="238" t="n">
        <f aca="false">'Projected CFS'!E32</f>
        <v>9920161.49606427</v>
      </c>
      <c r="F5" s="238" t="n">
        <f aca="false">'Projected CFS'!F32</f>
        <v>10078001.6689802</v>
      </c>
      <c r="G5" s="238" t="n">
        <f aca="false">'Projected CFS'!G32</f>
        <v>13702417.86077</v>
      </c>
    </row>
    <row r="6" customFormat="false" ht="14.25" hidden="false" customHeight="true" outlineLevel="0" collapsed="false">
      <c r="A6" s="17" t="s">
        <v>167</v>
      </c>
      <c r="B6" s="237" t="n">
        <f aca="false">'Balance Sheet Input'!$D$7</f>
        <v>28678</v>
      </c>
      <c r="C6" s="238" t="n">
        <f aca="false">'Proj Schedules'!C43</f>
        <v>28678</v>
      </c>
      <c r="D6" s="238" t="n">
        <f aca="false">'Proj Schedules'!D43</f>
        <v>28678</v>
      </c>
      <c r="E6" s="238" t="n">
        <f aca="false">'Proj Schedules'!E43</f>
        <v>28678</v>
      </c>
      <c r="F6" s="238" t="n">
        <f aca="false">'Proj Schedules'!F43</f>
        <v>28678</v>
      </c>
      <c r="G6" s="238" t="n">
        <f aca="false">'Proj Schedules'!G43</f>
        <v>28678</v>
      </c>
    </row>
    <row r="7" customFormat="false" ht="14.25" hidden="false" customHeight="true" outlineLevel="0" collapsed="false">
      <c r="A7" s="17" t="s">
        <v>207</v>
      </c>
      <c r="B7" s="237" t="n">
        <f aca="false">'Balance Sheet Input'!$D$8</f>
        <v>3957832</v>
      </c>
      <c r="C7" s="238" t="n">
        <f aca="false">'Proj Schedules'!C35</f>
        <v>4253509.29565816</v>
      </c>
      <c r="D7" s="238" t="n">
        <f aca="false">'Proj Schedules'!D35</f>
        <v>4521378.59024551</v>
      </c>
      <c r="E7" s="238" t="n">
        <f aca="false">'Proj Schedules'!E35</f>
        <v>4807953.51152535</v>
      </c>
      <c r="F7" s="238" t="n">
        <f aca="false">'Proj Schedules'!F35</f>
        <v>5114646.74060823</v>
      </c>
      <c r="G7" s="238" t="n">
        <f aca="false">'Proj Schedules'!G35</f>
        <v>5442982.52645692</v>
      </c>
    </row>
    <row r="8" customFormat="false" ht="14.25" hidden="false" customHeight="true" outlineLevel="0" collapsed="false">
      <c r="A8" s="30" t="s">
        <v>170</v>
      </c>
      <c r="B8" s="240" t="n">
        <f aca="false">SUM(B5:B7)</f>
        <v>13020191</v>
      </c>
      <c r="C8" s="239" t="n">
        <f aca="false">SUM(C5:C7)</f>
        <v>13762797.2155183</v>
      </c>
      <c r="D8" s="239" t="n">
        <f aca="false">SUM(D5:D7)</f>
        <v>14740846.8997733</v>
      </c>
      <c r="E8" s="239" t="n">
        <f aca="false">SUM(E5:E7)</f>
        <v>14756793.0075896</v>
      </c>
      <c r="F8" s="239" t="n">
        <f aca="false">SUM(F5:F7)</f>
        <v>15221326.4095884</v>
      </c>
      <c r="G8" s="239" t="n">
        <f aca="false">SUM(G5:G7)</f>
        <v>19174078.3872269</v>
      </c>
    </row>
    <row r="9" customFormat="false" ht="14.25" hidden="false" customHeight="true" outlineLevel="0" collapsed="false">
      <c r="A9" s="17" t="s">
        <v>293</v>
      </c>
      <c r="B9" s="237" t="n">
        <f aca="false">'Balance Sheet Input'!$D$10</f>
        <v>32778392</v>
      </c>
      <c r="C9" s="238" t="n">
        <f aca="false">'Proj Schedules'!C16</f>
        <v>35195474.7</v>
      </c>
      <c r="D9" s="238" t="n">
        <f aca="false">'Proj Schedules'!D16</f>
        <v>38284643.92</v>
      </c>
      <c r="E9" s="238" t="n">
        <f aca="false">'Proj Schedules'!E16</f>
        <v>41897919.187</v>
      </c>
      <c r="F9" s="238" t="n">
        <f aca="false">'Proj Schedules'!F16</f>
        <v>45980116.5432</v>
      </c>
      <c r="G9" s="238" t="n">
        <f aca="false">'Proj Schedules'!G16</f>
        <v>50524330.91627</v>
      </c>
    </row>
    <row r="10" customFormat="false" ht="14.25" hidden="false" customHeight="true" outlineLevel="0" collapsed="false">
      <c r="A10" s="17" t="s">
        <v>318</v>
      </c>
      <c r="B10" s="237" t="n">
        <f aca="false">'Balance Sheet Input'!$D$11</f>
        <v>2004350</v>
      </c>
      <c r="C10" s="238" t="n">
        <f aca="false">'Proj Schedules'!C22</f>
        <v>2313445.00469895</v>
      </c>
      <c r="D10" s="238" t="n">
        <f aca="false">'Proj Schedules'!D22</f>
        <v>2612693.1349459</v>
      </c>
      <c r="E10" s="238" t="n">
        <f aca="false">'Proj Schedules'!E22</f>
        <v>2908712.90292543</v>
      </c>
      <c r="F10" s="238" t="n">
        <f aca="false">'Proj Schedules'!F22</f>
        <v>3207150.48172994</v>
      </c>
      <c r="G10" s="238" t="n">
        <f aca="false">'Proj Schedules'!G22</f>
        <v>3512922.84378812</v>
      </c>
    </row>
    <row r="11" customFormat="false" ht="14.25" hidden="false" customHeight="true" outlineLevel="0" collapsed="false">
      <c r="A11" s="17" t="s">
        <v>523</v>
      </c>
      <c r="B11" s="237" t="n">
        <f aca="false">'Balance Sheet Input'!$D$12</f>
        <v>7794060</v>
      </c>
      <c r="C11" s="238" t="n">
        <f aca="false">'Proj Schedules'!C41</f>
        <v>8376299.75685</v>
      </c>
      <c r="D11" s="238" t="n">
        <f aca="false">'Proj Schedules'!D41</f>
        <v>9006626.2508355</v>
      </c>
      <c r="E11" s="238" t="n">
        <f aca="false">'Proj Schedules'!E41</f>
        <v>9689377.7832857</v>
      </c>
      <c r="F11" s="238" t="n">
        <f aca="false">'Proj Schedules'!F41</f>
        <v>10429294.0890222</v>
      </c>
      <c r="G11" s="238" t="n">
        <f aca="false">'Proj Schedules'!G41</f>
        <v>11231571.9150895</v>
      </c>
    </row>
    <row r="12" customFormat="false" ht="14.25" hidden="false" customHeight="true" outlineLevel="0" collapsed="false">
      <c r="A12" s="30" t="s">
        <v>175</v>
      </c>
      <c r="B12" s="240" t="n">
        <f aca="false">B8+B9+B10+B11</f>
        <v>55596993</v>
      </c>
      <c r="C12" s="239" t="n">
        <f aca="false">C8+C9+C10+C11</f>
        <v>59648016.6770673</v>
      </c>
      <c r="D12" s="239" t="n">
        <f aca="false">D8+D9+D10+D11</f>
        <v>64644810.2055547</v>
      </c>
      <c r="E12" s="239" t="n">
        <f aca="false">E8+E9+E10+E11</f>
        <v>69252802.8808008</v>
      </c>
      <c r="F12" s="239" t="n">
        <f aca="false">F8+F9+F10+F11</f>
        <v>74837887.5235405</v>
      </c>
      <c r="G12" s="239" t="n">
        <f aca="false">G8+G9+G10+G11</f>
        <v>84442904.0623745</v>
      </c>
    </row>
    <row r="13" customFormat="false" ht="14.25" hidden="false" customHeight="true" outlineLevel="0" collapsed="false">
      <c r="A13" s="17"/>
      <c r="B13" s="17"/>
      <c r="C13" s="17"/>
      <c r="D13" s="17"/>
      <c r="E13" s="17"/>
      <c r="F13" s="17"/>
      <c r="G13" s="17"/>
    </row>
    <row r="14" customFormat="false" ht="14.25" hidden="false" customHeight="true" outlineLevel="0" collapsed="false">
      <c r="A14" s="236" t="s">
        <v>176</v>
      </c>
      <c r="B14" s="236"/>
      <c r="C14" s="236"/>
      <c r="D14" s="236"/>
      <c r="E14" s="236"/>
      <c r="F14" s="236"/>
      <c r="G14" s="236"/>
    </row>
    <row r="15" customFormat="false" ht="14.25" hidden="false" customHeight="true" outlineLevel="0" collapsed="false">
      <c r="A15" s="17" t="s">
        <v>522</v>
      </c>
      <c r="B15" s="237" t="n">
        <f aca="false">'Balance Sheet Input'!$D$17</f>
        <v>4084854</v>
      </c>
      <c r="C15" s="238" t="n">
        <f aca="false">'Proj Schedules'!C39</f>
        <v>4370243.3514</v>
      </c>
      <c r="D15" s="238" t="n">
        <f aca="false">'Proj Schedules'!D39</f>
        <v>4699109.348262</v>
      </c>
      <c r="E15" s="238" t="n">
        <f aca="false">'Proj Schedules'!E39</f>
        <v>5055327.53910558</v>
      </c>
      <c r="F15" s="238" t="n">
        <f aca="false">'Proj Schedules'!F39</f>
        <v>5441370.82905504</v>
      </c>
      <c r="G15" s="238" t="n">
        <f aca="false">'Proj Schedules'!G39</f>
        <v>5859950.5643945</v>
      </c>
    </row>
    <row r="16" customFormat="false" ht="14.25" hidden="false" customHeight="true" outlineLevel="0" collapsed="false">
      <c r="A16" s="17" t="s">
        <v>208</v>
      </c>
      <c r="B16" s="237" t="n">
        <f aca="false">'Balance Sheet Input'!$D$18</f>
        <v>900612</v>
      </c>
      <c r="C16" s="238" t="n">
        <f aca="false">'Proj Schedules'!C36</f>
        <v>967480.455435848</v>
      </c>
      <c r="D16" s="238" t="n">
        <f aca="false">'Proj Schedules'!D36</f>
        <v>1041473.71831135</v>
      </c>
      <c r="E16" s="238" t="n">
        <f aca="false">'Proj Schedules'!E36</f>
        <v>1121610.14736555</v>
      </c>
      <c r="F16" s="238" t="n">
        <f aca="false">'Proj Schedules'!F36</f>
        <v>1208438.68265552</v>
      </c>
      <c r="G16" s="238" t="n">
        <f aca="false">'Proj Schedules'!G36</f>
        <v>1293638.58373841</v>
      </c>
    </row>
    <row r="17" customFormat="false" ht="14.25" hidden="false" customHeight="true" outlineLevel="0" collapsed="false">
      <c r="A17" s="17" t="s">
        <v>209</v>
      </c>
      <c r="B17" s="237" t="n">
        <f aca="false">'Balance Sheet Input'!$D$19</f>
        <v>3220869</v>
      </c>
      <c r="C17" s="238" t="n">
        <f aca="false">'Proj Schedules'!C37</f>
        <v>3412917.2661461</v>
      </c>
      <c r="D17" s="238" t="n">
        <f aca="false">'Proj Schedules'!D37</f>
        <v>3617531.01327036</v>
      </c>
      <c r="E17" s="238" t="n">
        <f aca="false">'Proj Schedules'!E37</f>
        <v>3835589.34453138</v>
      </c>
      <c r="F17" s="238" t="n">
        <f aca="false">'Proj Schedules'!F37</f>
        <v>4068029.29147743</v>
      </c>
      <c r="G17" s="238" t="n">
        <f aca="false">'Proj Schedules'!G37</f>
        <v>4315853.59067655</v>
      </c>
    </row>
    <row r="18" customFormat="false" ht="14.25" hidden="false" customHeight="true" outlineLevel="0" collapsed="false">
      <c r="A18" s="17" t="s">
        <v>210</v>
      </c>
      <c r="B18" s="237" t="n">
        <f aca="false">'Balance Sheet Input'!$D$20</f>
        <v>1775730</v>
      </c>
      <c r="C18" s="238" t="n">
        <f aca="false">'Proj Schedules'!C38</f>
        <v>1908388.15503746</v>
      </c>
      <c r="D18" s="238" t="n">
        <f aca="false">'Proj Schedules'!D38</f>
        <v>2051996.62773383</v>
      </c>
      <c r="E18" s="238" t="n">
        <f aca="false">'Proj Schedules'!E38</f>
        <v>2151378.88972537</v>
      </c>
      <c r="F18" s="238" t="n">
        <f aca="false">'Proj Schedules'!F38</f>
        <v>2315666.04581819</v>
      </c>
      <c r="G18" s="238" t="n">
        <f aca="false">'Proj Schedules'!G38</f>
        <v>2428689.06669421</v>
      </c>
    </row>
    <row r="19" customFormat="false" ht="14.25" hidden="false" customHeight="true" outlineLevel="0" collapsed="false">
      <c r="A19" s="17" t="s">
        <v>541</v>
      </c>
      <c r="B19" s="237" t="n">
        <f aca="false">'Balance Sheet Input'!$D$21</f>
        <v>998865</v>
      </c>
      <c r="C19" s="238" t="n">
        <f aca="false">'Proj Schedules'!C29</f>
        <v>1526000</v>
      </c>
      <c r="D19" s="238" t="n">
        <f aca="false">'Proj Schedules'!D29</f>
        <v>3500000</v>
      </c>
      <c r="E19" s="238" t="n">
        <f aca="false">'Proj Schedules'!E29</f>
        <v>4401000</v>
      </c>
      <c r="F19" s="238" t="n">
        <f aca="false">'Proj Schedules'!F29</f>
        <v>2292000</v>
      </c>
      <c r="G19" s="238" t="n">
        <f aca="false">'Proj Schedules'!G29</f>
        <v>0</v>
      </c>
    </row>
    <row r="20" customFormat="false" ht="14.25" hidden="false" customHeight="true" outlineLevel="0" collapsed="false">
      <c r="A20" s="30" t="s">
        <v>183</v>
      </c>
      <c r="B20" s="240" t="n">
        <f aca="false">SUM(B15:B19)</f>
        <v>10980930</v>
      </c>
      <c r="C20" s="239" t="n">
        <f aca="false">SUM(C15:C19)</f>
        <v>12185029.2280194</v>
      </c>
      <c r="D20" s="239" t="n">
        <f aca="false">SUM(D15:D19)</f>
        <v>14910110.7075775</v>
      </c>
      <c r="E20" s="239" t="n">
        <f aca="false">SUM(E15:E19)</f>
        <v>16564905.9207279</v>
      </c>
      <c r="F20" s="239" t="n">
        <f aca="false">SUM(F15:F19)</f>
        <v>15325504.8490062</v>
      </c>
      <c r="G20" s="239" t="n">
        <f aca="false">SUM(G15:G19)</f>
        <v>13898131.8055037</v>
      </c>
    </row>
    <row r="21" customFormat="false" ht="14.25" hidden="false" customHeight="true" outlineLevel="0" collapsed="false">
      <c r="A21" s="17" t="s">
        <v>184</v>
      </c>
      <c r="B21" s="237" t="n">
        <f aca="false">'Balance Sheet Input'!$D$23</f>
        <v>1579476</v>
      </c>
      <c r="C21" s="238" t="n">
        <f aca="false">'Proj Schedules'!C40</f>
        <v>1699539.0811</v>
      </c>
      <c r="D21" s="238" t="n">
        <f aca="false">'Proj Schedules'!D40</f>
        <v>1827431.413213</v>
      </c>
      <c r="E21" s="238" t="n">
        <f aca="false">'Proj Schedules'!E40</f>
        <v>1965960.70965217</v>
      </c>
      <c r="F21" s="238" t="n">
        <f aca="false">'Proj Schedules'!F40</f>
        <v>2116088.65574363</v>
      </c>
      <c r="G21" s="238" t="n">
        <f aca="false">'Proj Schedules'!G40</f>
        <v>2278869.66393119</v>
      </c>
    </row>
    <row r="22" customFormat="false" ht="14.25" hidden="false" customHeight="true" outlineLevel="0" collapsed="false">
      <c r="A22" s="17" t="s">
        <v>542</v>
      </c>
      <c r="B22" s="237" t="n">
        <f aca="false">'Balance Sheet Input'!$D$24</f>
        <v>13463971</v>
      </c>
      <c r="C22" s="238" t="n">
        <f aca="false">'Proj Schedules'!C30</f>
        <v>11936836</v>
      </c>
      <c r="D22" s="238" t="n">
        <f aca="false">'Proj Schedules'!D30</f>
        <v>8436836</v>
      </c>
      <c r="E22" s="238" t="n">
        <f aca="false">'Proj Schedules'!E30</f>
        <v>4035836</v>
      </c>
      <c r="F22" s="238" t="n">
        <f aca="false">'Proj Schedules'!F30</f>
        <v>1743836</v>
      </c>
      <c r="G22" s="238" t="n">
        <f aca="false">'Proj Schedules'!G30</f>
        <v>1743836</v>
      </c>
    </row>
    <row r="23" customFormat="false" ht="14.25" hidden="false" customHeight="true" outlineLevel="0" collapsed="false">
      <c r="A23" s="17" t="s">
        <v>524</v>
      </c>
      <c r="B23" s="237" t="n">
        <f aca="false">'Balance Sheet Input'!$D$25</f>
        <v>2957128</v>
      </c>
      <c r="C23" s="238" t="n">
        <f aca="false">'Proj Schedules'!C42</f>
        <v>3180565.99463</v>
      </c>
      <c r="D23" s="238" t="n">
        <f aca="false">'Proj Schedules'!D42</f>
        <v>3419907.3590129</v>
      </c>
      <c r="E23" s="238" t="n">
        <f aca="false">'Proj Schedules'!E42</f>
        <v>3679155.04234906</v>
      </c>
      <c r="F23" s="238" t="n">
        <f aca="false">'Proj Schedules'!F42</f>
        <v>3960108.7700345</v>
      </c>
      <c r="G23" s="238" t="n">
        <f aca="false">'Proj Schedules'!G42</f>
        <v>4264741.79964266</v>
      </c>
    </row>
    <row r="24" customFormat="false" ht="14.25" hidden="false" customHeight="true" outlineLevel="0" collapsed="false">
      <c r="A24" s="30" t="s">
        <v>187</v>
      </c>
      <c r="B24" s="240" t="n">
        <f aca="false">B20+B21+B22+B23</f>
        <v>28981505</v>
      </c>
      <c r="C24" s="239" t="n">
        <f aca="false">C20+C21+C22+C23</f>
        <v>29001970.3037494</v>
      </c>
      <c r="D24" s="239" t="n">
        <f aca="false">D20+D21+D22+D23</f>
        <v>28594285.4798034</v>
      </c>
      <c r="E24" s="239" t="n">
        <f aca="false">E20+E21+E22+E23</f>
        <v>26245857.6727291</v>
      </c>
      <c r="F24" s="239" t="n">
        <f aca="false">F20+F21+F22+F23</f>
        <v>23145538.2747843</v>
      </c>
      <c r="G24" s="239" t="n">
        <f aca="false">G20+G21+G22+G23</f>
        <v>22185579.2690775</v>
      </c>
    </row>
    <row r="25" customFormat="false" ht="14.25" hidden="false" customHeight="true" outlineLevel="0" collapsed="false">
      <c r="A25" s="17"/>
      <c r="B25" s="17"/>
      <c r="C25" s="17"/>
      <c r="D25" s="17"/>
      <c r="E25" s="17"/>
      <c r="F25" s="17"/>
      <c r="G25" s="17"/>
    </row>
    <row r="26" customFormat="false" ht="14.25" hidden="false" customHeight="true" outlineLevel="0" collapsed="false">
      <c r="A26" s="17" t="s">
        <v>543</v>
      </c>
      <c r="B26" s="237" t="n">
        <f aca="false">'Balance Sheet Input'!$D$28</f>
        <v>7286410</v>
      </c>
      <c r="C26" s="238" t="n">
        <f aca="false">'Proj Schedules'!C49</f>
        <v>8403249.96758</v>
      </c>
      <c r="D26" s="238" t="n">
        <f aca="false">'Proj Schedules'!D49</f>
        <v>9604133.4676914</v>
      </c>
      <c r="E26" s="238" t="n">
        <f aca="false">'Proj Schedules'!E49</f>
        <v>10896050.5054628</v>
      </c>
      <c r="F26" s="238" t="n">
        <f aca="false">'Proj Schedules'!F49</f>
        <v>12286623.0506658</v>
      </c>
      <c r="G26" s="238" t="n">
        <f aca="false">'Proj Schedules'!G49</f>
        <v>13784165.9726777</v>
      </c>
    </row>
    <row r="27" customFormat="false" ht="14.25" hidden="false" customHeight="true" outlineLevel="0" collapsed="false">
      <c r="A27" s="17" t="s">
        <v>544</v>
      </c>
      <c r="B27" s="237" t="n">
        <f aca="false">'Balance Sheet Input'!$D$29</f>
        <v>-22372658</v>
      </c>
      <c r="C27" s="238" t="n">
        <f aca="false">'Proj Schedules'!C50</f>
        <v>-31499825</v>
      </c>
      <c r="D27" s="238" t="n">
        <f aca="false">'Proj Schedules'!D50</f>
        <v>-40626992</v>
      </c>
      <c r="E27" s="238" t="n">
        <f aca="false">'Proj Schedules'!E50</f>
        <v>-49754159</v>
      </c>
      <c r="F27" s="238" t="n">
        <f aca="false">'Proj Schedules'!F50</f>
        <v>-58881326</v>
      </c>
      <c r="G27" s="238" t="n">
        <f aca="false">'Proj Schedules'!G50</f>
        <v>-68008493</v>
      </c>
    </row>
    <row r="28" customFormat="false" ht="14.25" hidden="false" customHeight="true" outlineLevel="0" collapsed="false">
      <c r="A28" s="17" t="s">
        <v>545</v>
      </c>
      <c r="B28" s="237" t="n">
        <f aca="false">'Balance Sheet Input'!$D$30</f>
        <v>-580382</v>
      </c>
      <c r="C28" s="238" t="n">
        <f aca="false">'Proj Schedules'!C51</f>
        <v>-580382</v>
      </c>
      <c r="D28" s="238" t="n">
        <f aca="false">'Proj Schedules'!D51</f>
        <v>-580382</v>
      </c>
      <c r="E28" s="238" t="n">
        <f aca="false">'Proj Schedules'!E51</f>
        <v>-580382</v>
      </c>
      <c r="F28" s="238" t="n">
        <f aca="false">'Proj Schedules'!F51</f>
        <v>-580382</v>
      </c>
      <c r="G28" s="238" t="n">
        <f aca="false">'Proj Schedules'!G51</f>
        <v>-580382</v>
      </c>
    </row>
    <row r="29" customFormat="false" ht="14.25" hidden="false" customHeight="true" outlineLevel="0" collapsed="false">
      <c r="A29" s="17" t="s">
        <v>546</v>
      </c>
      <c r="B29" s="237" t="n">
        <f aca="false">'Balance Sheet Input'!$D$31</f>
        <v>42282118</v>
      </c>
      <c r="C29" s="238" t="n">
        <f aca="false">'Proj Schedules'!C52</f>
        <v>54323003.4057379</v>
      </c>
      <c r="D29" s="238" t="n">
        <f aca="false">'Proj Schedules'!D52</f>
        <v>67653765.2580598</v>
      </c>
      <c r="E29" s="238" t="n">
        <f aca="false">'Proj Schedules'!E52</f>
        <v>82445435.7026088</v>
      </c>
      <c r="F29" s="238" t="n">
        <f aca="false">'Proj Schedules'!F52</f>
        <v>98867434.1980904</v>
      </c>
      <c r="G29" s="238" t="n">
        <f aca="false">'Proj Schedules'!G52</f>
        <v>117062033.820619</v>
      </c>
    </row>
    <row r="30" customFormat="false" ht="14.25" hidden="false" customHeight="true" outlineLevel="0" collapsed="false">
      <c r="A30" s="30" t="s">
        <v>193</v>
      </c>
      <c r="B30" s="240" t="n">
        <f aca="false">SUM(B26:B29)</f>
        <v>26615488</v>
      </c>
      <c r="C30" s="239" t="n">
        <f aca="false">SUM(C26:C29)</f>
        <v>30646046.3733179</v>
      </c>
      <c r="D30" s="239" t="n">
        <f aca="false">SUM(D26:D29)</f>
        <v>36050524.7257512</v>
      </c>
      <c r="E30" s="239" t="n">
        <f aca="false">SUM(E26:E29)</f>
        <v>43006945.2080716</v>
      </c>
      <c r="F30" s="239" t="n">
        <f aca="false">SUM(F26:F29)</f>
        <v>51692349.2487562</v>
      </c>
      <c r="G30" s="239" t="n">
        <f aca="false">SUM(G26:G29)</f>
        <v>62257324.793297</v>
      </c>
    </row>
    <row r="31" customFormat="false" ht="14.25" hidden="false" customHeight="true" outlineLevel="0" collapsed="false">
      <c r="A31" s="30" t="s">
        <v>547</v>
      </c>
      <c r="B31" s="240" t="n">
        <f aca="false">B24+B30</f>
        <v>55596993</v>
      </c>
      <c r="C31" s="239" t="n">
        <f aca="false">C24+C30</f>
        <v>59648016.6770673</v>
      </c>
      <c r="D31" s="239" t="n">
        <f aca="false">D24+D30</f>
        <v>64644810.2055547</v>
      </c>
      <c r="E31" s="239" t="n">
        <f aca="false">E24+E30</f>
        <v>69252802.8808008</v>
      </c>
      <c r="F31" s="239" t="n">
        <f aca="false">F24+F30</f>
        <v>74837887.5235405</v>
      </c>
      <c r="G31" s="239" t="n">
        <f aca="false">G24+G30</f>
        <v>84442904.0623745</v>
      </c>
    </row>
    <row r="32" customFormat="false" ht="14.25" hidden="false" customHeight="true" outlineLevel="0" collapsed="false">
      <c r="A32" s="17"/>
      <c r="B32" s="17"/>
      <c r="C32" s="17"/>
      <c r="D32" s="17"/>
      <c r="E32" s="17"/>
      <c r="F32" s="17"/>
      <c r="G32" s="17"/>
    </row>
    <row r="33" customFormat="false" ht="14.25" hidden="false" customHeight="true" outlineLevel="0" collapsed="false">
      <c r="A33" s="30" t="s">
        <v>548</v>
      </c>
      <c r="B33" s="243" t="n">
        <f aca="false">B12-B31</f>
        <v>0</v>
      </c>
      <c r="C33" s="243" t="n">
        <f aca="false">C12-C31</f>
        <v>0</v>
      </c>
      <c r="D33" s="243" t="n">
        <f aca="false">D12-D31</f>
        <v>0</v>
      </c>
      <c r="E33" s="243" t="n">
        <f aca="false">E12-E31</f>
        <v>0</v>
      </c>
      <c r="F33" s="243" t="n">
        <f aca="false">F12-F31</f>
        <v>0</v>
      </c>
      <c r="G33" s="243" t="n">
        <f aca="false">G12-G31</f>
        <v>0</v>
      </c>
    </row>
  </sheetData>
  <mergeCells count="3">
    <mergeCell ref="A1:G1"/>
    <mergeCell ref="A4:G4"/>
    <mergeCell ref="A14:G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328125" defaultRowHeight="14.25" zeroHeight="false" outlineLevelRow="0" outlineLevelCol="0"/>
  <cols>
    <col collapsed="false" customWidth="true" hidden="false" outlineLevel="0" max="1" min="1" style="15" width="40"/>
    <col collapsed="false" customWidth="true" hidden="false" outlineLevel="0" max="7" min="2" style="15" width="13"/>
  </cols>
  <sheetData>
    <row r="1" customFormat="false" ht="24" hidden="false" customHeight="true" outlineLevel="0" collapsed="false">
      <c r="A1" s="16" t="s">
        <v>549</v>
      </c>
      <c r="B1" s="16"/>
      <c r="C1" s="16"/>
      <c r="D1" s="16"/>
      <c r="E1" s="16"/>
      <c r="F1" s="16"/>
      <c r="G1" s="16"/>
    </row>
    <row r="2" customFormat="false" ht="14.25" hidden="false" customHeight="true" outlineLevel="0" collapsed="false">
      <c r="A2" s="17"/>
      <c r="B2" s="17"/>
      <c r="C2" s="17"/>
      <c r="D2" s="17"/>
      <c r="E2" s="17"/>
      <c r="F2" s="17"/>
      <c r="G2" s="17"/>
    </row>
    <row r="3" customFormat="false" ht="14.25" hidden="false" customHeight="true" outlineLevel="0" collapsed="false">
      <c r="A3" s="17"/>
      <c r="B3" s="17"/>
      <c r="C3" s="31" t="s">
        <v>56</v>
      </c>
      <c r="D3" s="31" t="s">
        <v>57</v>
      </c>
      <c r="E3" s="31" t="s">
        <v>58</v>
      </c>
      <c r="F3" s="31" t="s">
        <v>59</v>
      </c>
      <c r="G3" s="31" t="s">
        <v>60</v>
      </c>
    </row>
    <row r="4" customFormat="false" ht="14.25" hidden="false" customHeight="true" outlineLevel="0" collapsed="false">
      <c r="A4" s="236" t="s">
        <v>196</v>
      </c>
      <c r="B4" s="236"/>
      <c r="C4" s="236"/>
      <c r="D4" s="236"/>
      <c r="E4" s="236"/>
      <c r="F4" s="236"/>
      <c r="G4" s="236"/>
    </row>
    <row r="5" customFormat="false" ht="14.25" hidden="false" customHeight="true" outlineLevel="0" collapsed="false">
      <c r="A5" s="17" t="s">
        <v>139</v>
      </c>
      <c r="B5" s="17"/>
      <c r="C5" s="238" t="n">
        <f aca="false">'Projected PnL'!C13</f>
        <v>12040885.4057379</v>
      </c>
      <c r="D5" s="238" t="n">
        <f aca="false">'Projected PnL'!D13</f>
        <v>13330761.8523219</v>
      </c>
      <c r="E5" s="238" t="n">
        <f aca="false">'Projected PnL'!E13</f>
        <v>14791670.444549</v>
      </c>
      <c r="F5" s="238" t="n">
        <f aca="false">'Projected PnL'!F13</f>
        <v>16421998.4954816</v>
      </c>
      <c r="G5" s="238" t="n">
        <f aca="false">'Projected PnL'!G13</f>
        <v>18194599.6225289</v>
      </c>
    </row>
    <row r="6" customFormat="false" ht="14.25" hidden="false" customHeight="true" outlineLevel="0" collapsed="false">
      <c r="A6" s="17" t="s">
        <v>509</v>
      </c>
      <c r="B6" s="17"/>
      <c r="C6" s="238" t="n">
        <f aca="false">'Proj Schedules'!C21</f>
        <v>419278.887201052</v>
      </c>
      <c r="D6" s="238" t="n">
        <f aca="false">'Proj Schedules'!D21</f>
        <v>483936.761130046</v>
      </c>
      <c r="E6" s="238" t="n">
        <f aca="false">'Proj Schedules'!E21</f>
        <v>546534.821871403</v>
      </c>
      <c r="F6" s="238" t="n">
        <f aca="false">'Proj Schedules'!F21</f>
        <v>608457.559371325</v>
      </c>
      <c r="G6" s="238" t="n">
        <f aca="false">'Proj Schedules'!G21</f>
        <v>670886.065340908</v>
      </c>
    </row>
    <row r="7" customFormat="false" ht="14.25" hidden="false" customHeight="true" outlineLevel="0" collapsed="false">
      <c r="A7" s="17" t="s">
        <v>200</v>
      </c>
      <c r="B7" s="17"/>
      <c r="C7" s="238" t="n">
        <f aca="false">'Proj Schedules'!C14</f>
        <v>16389196</v>
      </c>
      <c r="D7" s="238" t="n">
        <f aca="false">'Proj Schedules'!D14</f>
        <v>17597737.35</v>
      </c>
      <c r="E7" s="238" t="n">
        <f aca="false">'Proj Schedules'!E14</f>
        <v>19142321.96</v>
      </c>
      <c r="F7" s="238" t="n">
        <f aca="false">'Proj Schedules'!F14</f>
        <v>20948959.5935</v>
      </c>
      <c r="G7" s="238" t="n">
        <f aca="false">'Proj Schedules'!G14</f>
        <v>22990058.2716</v>
      </c>
    </row>
    <row r="8" customFormat="false" ht="14.25" hidden="false" customHeight="true" outlineLevel="0" collapsed="false">
      <c r="A8" s="17" t="s">
        <v>198</v>
      </c>
      <c r="B8" s="17"/>
      <c r="C8" s="238" t="n">
        <f aca="false">-'Proj Schedules'!C13</f>
        <v>-18806278.7</v>
      </c>
      <c r="D8" s="238" t="n">
        <f aca="false">-'Proj Schedules'!D13</f>
        <v>-20686906.57</v>
      </c>
      <c r="E8" s="238" t="n">
        <f aca="false">-'Proj Schedules'!E13</f>
        <v>-22755597.227</v>
      </c>
      <c r="F8" s="238" t="n">
        <f aca="false">-'Proj Schedules'!F13</f>
        <v>-25031156.9497</v>
      </c>
      <c r="G8" s="238" t="n">
        <f aca="false">-'Proj Schedules'!G13</f>
        <v>-27534272.64467</v>
      </c>
    </row>
    <row r="9" customFormat="false" ht="14.25" hidden="false" customHeight="true" outlineLevel="0" collapsed="false">
      <c r="A9" s="17" t="s">
        <v>199</v>
      </c>
      <c r="B9" s="17"/>
      <c r="C9" s="238" t="n">
        <f aca="false">('Proj Schedules'!C39+'Proj Schedules'!C40)-('Proj Schedules'!B39+'Proj Schedules'!B40)</f>
        <v>405452.4325</v>
      </c>
      <c r="D9" s="238" t="n">
        <f aca="false">('Proj Schedules'!D39+'Proj Schedules'!D40)-('Proj Schedules'!C39+'Proj Schedules'!C40)</f>
        <v>456758.328975</v>
      </c>
      <c r="E9" s="238" t="n">
        <f aca="false">('Proj Schedules'!E39+'Proj Schedules'!E40)-('Proj Schedules'!D39+'Proj Schedules'!D40)</f>
        <v>494747.487282751</v>
      </c>
      <c r="F9" s="238" t="n">
        <f aca="false">('Proj Schedules'!F39+'Proj Schedules'!F40)-('Proj Schedules'!E39+'Proj Schedules'!E40)</f>
        <v>536171.236040918</v>
      </c>
      <c r="G9" s="238" t="n">
        <f aca="false">('Proj Schedules'!G39+'Proj Schedules'!G40)-('Proj Schedules'!F39+'Proj Schedules'!F40)</f>
        <v>581360.743527025</v>
      </c>
    </row>
    <row r="10" customFormat="false" ht="14.25" hidden="false" customHeight="true" outlineLevel="0" collapsed="false">
      <c r="A10" s="17" t="s">
        <v>526</v>
      </c>
      <c r="B10" s="17"/>
      <c r="C10" s="238" t="n">
        <f aca="false">'Proj Schedules'!C46</f>
        <v>398177.727572</v>
      </c>
      <c r="D10" s="238" t="n">
        <f aca="false">'Proj Schedules'!D46</f>
        <v>428141.07395276</v>
      </c>
      <c r="E10" s="238" t="n">
        <f aca="false">'Proj Schedules'!E46</f>
        <v>460596.509118509</v>
      </c>
      <c r="F10" s="238" t="n">
        <f aca="false">'Proj Schedules'!F46</f>
        <v>495769.342202793</v>
      </c>
      <c r="G10" s="238" t="n">
        <f aca="false">'Proj Schedules'!G46</f>
        <v>533906.606978166</v>
      </c>
    </row>
    <row r="11" customFormat="false" ht="14.25" hidden="false" customHeight="true" outlineLevel="0" collapsed="false">
      <c r="A11" s="17" t="s">
        <v>550</v>
      </c>
      <c r="B11" s="17"/>
      <c r="C11" s="238" t="n">
        <f aca="false">-('Proj Schedules'!C35-'Proj Schedules'!B35)</f>
        <v>-295677.29565816</v>
      </c>
      <c r="D11" s="238" t="n">
        <f aca="false">-('Proj Schedules'!D35-'Proj Schedules'!C35)</f>
        <v>-267869.294587353</v>
      </c>
      <c r="E11" s="238" t="n">
        <f aca="false">-('Proj Schedules'!E35-'Proj Schedules'!D35)</f>
        <v>-286574.921279836</v>
      </c>
      <c r="F11" s="238" t="n">
        <f aca="false">-('Proj Schedules'!F35-'Proj Schedules'!E35)</f>
        <v>-306693.229082878</v>
      </c>
      <c r="G11" s="238" t="n">
        <f aca="false">-('Proj Schedules'!G35-'Proj Schedules'!F35)</f>
        <v>-328335.785848692</v>
      </c>
    </row>
    <row r="12" customFormat="false" ht="14.25" hidden="false" customHeight="true" outlineLevel="0" collapsed="false">
      <c r="A12" s="17" t="s">
        <v>551</v>
      </c>
      <c r="B12" s="17"/>
      <c r="C12" s="238" t="n">
        <f aca="false">'Proj Schedules'!C36-'Proj Schedules'!B36</f>
        <v>66868.4554358479</v>
      </c>
      <c r="D12" s="238" t="n">
        <f aca="false">'Proj Schedules'!D36-'Proj Schedules'!C36</f>
        <v>73993.2628754996</v>
      </c>
      <c r="E12" s="238" t="n">
        <f aca="false">'Proj Schedules'!E36-'Proj Schedules'!D36</f>
        <v>80136.4290542038</v>
      </c>
      <c r="F12" s="238" t="n">
        <f aca="false">'Proj Schedules'!F36-'Proj Schedules'!E36</f>
        <v>86828.5352899679</v>
      </c>
      <c r="G12" s="238" t="n">
        <f aca="false">'Proj Schedules'!G36-'Proj Schedules'!F36</f>
        <v>85199.9010828901</v>
      </c>
    </row>
    <row r="13" customFormat="false" ht="14.25" hidden="false" customHeight="true" outlineLevel="0" collapsed="false">
      <c r="A13" s="17" t="s">
        <v>552</v>
      </c>
      <c r="B13" s="17"/>
      <c r="C13" s="238" t="n">
        <f aca="false">'Proj Schedules'!C37-'Proj Schedules'!B37</f>
        <v>192048.2661461</v>
      </c>
      <c r="D13" s="238" t="n">
        <f aca="false">'Proj Schedules'!D37-'Proj Schedules'!C37</f>
        <v>204613.747124263</v>
      </c>
      <c r="E13" s="238" t="n">
        <f aca="false">'Proj Schedules'!E37-'Proj Schedules'!D37</f>
        <v>218058.331261021</v>
      </c>
      <c r="F13" s="238" t="n">
        <f aca="false">'Proj Schedules'!F37-'Proj Schedules'!E37</f>
        <v>232439.946946044</v>
      </c>
      <c r="G13" s="238" t="n">
        <f aca="false">'Proj Schedules'!G37-'Proj Schedules'!F37</f>
        <v>247824.299199121</v>
      </c>
    </row>
    <row r="14" customFormat="false" ht="14.25" hidden="false" customHeight="true" outlineLevel="0" collapsed="false">
      <c r="A14" s="17" t="s">
        <v>553</v>
      </c>
      <c r="B14" s="17"/>
      <c r="C14" s="238" t="n">
        <f aca="false">'Proj Schedules'!C38-'Proj Schedules'!B38</f>
        <v>132658.15503746</v>
      </c>
      <c r="D14" s="238" t="n">
        <f aca="false">'Proj Schedules'!D38-'Proj Schedules'!C38</f>
        <v>143608.472696372</v>
      </c>
      <c r="E14" s="238" t="n">
        <f aca="false">'Proj Schedules'!E38-'Proj Schedules'!D38</f>
        <v>99382.2619915332</v>
      </c>
      <c r="F14" s="238" t="n">
        <f aca="false">'Proj Schedules'!F38-'Proj Schedules'!E38</f>
        <v>164287.156092826</v>
      </c>
      <c r="G14" s="238" t="n">
        <f aca="false">'Proj Schedules'!G38-'Proj Schedules'!F38</f>
        <v>113023.020876023</v>
      </c>
    </row>
    <row r="15" customFormat="false" ht="14.25" hidden="false" customHeight="true" outlineLevel="0" collapsed="false">
      <c r="A15" s="17" t="s">
        <v>554</v>
      </c>
      <c r="B15" s="17"/>
      <c r="C15" s="238" t="n">
        <f aca="false">-('Proj Schedules'!C41-'Proj Schedules'!B41)</f>
        <v>-582239.75685</v>
      </c>
      <c r="D15" s="238" t="n">
        <f aca="false">-('Proj Schedules'!D41-'Proj Schedules'!C41)</f>
        <v>-630326.493985501</v>
      </c>
      <c r="E15" s="238" t="n">
        <f aca="false">-('Proj Schedules'!E41-'Proj Schedules'!D41)</f>
        <v>-682751.532450195</v>
      </c>
      <c r="F15" s="238" t="n">
        <f aca="false">-('Proj Schedules'!F41-'Proj Schedules'!E41)</f>
        <v>-739916.305736467</v>
      </c>
      <c r="G15" s="238" t="n">
        <f aca="false">-('Proj Schedules'!G41-'Proj Schedules'!F41)</f>
        <v>-802277.826067295</v>
      </c>
    </row>
    <row r="16" customFormat="false" ht="14.25" hidden="false" customHeight="true" outlineLevel="0" collapsed="false">
      <c r="A16" s="17" t="s">
        <v>555</v>
      </c>
      <c r="B16" s="17"/>
      <c r="C16" s="238" t="n">
        <f aca="false">'Proj Schedules'!C42-'Proj Schedules'!B42</f>
        <v>223437.99463</v>
      </c>
      <c r="D16" s="238" t="n">
        <f aca="false">'Proj Schedules'!D42-'Proj Schedules'!C42</f>
        <v>239341.3643829</v>
      </c>
      <c r="E16" s="238" t="n">
        <f aca="false">'Proj Schedules'!E42-'Proj Schedules'!D42</f>
        <v>259247.683336162</v>
      </c>
      <c r="F16" s="238" t="n">
        <f aca="false">'Proj Schedules'!F42-'Proj Schedules'!E42</f>
        <v>280953.727685441</v>
      </c>
      <c r="G16" s="238" t="n">
        <f aca="false">'Proj Schedules'!G42-'Proj Schedules'!F42</f>
        <v>304633.029608161</v>
      </c>
    </row>
    <row r="17" customFormat="false" ht="14.25" hidden="false" customHeight="true" outlineLevel="0" collapsed="false">
      <c r="A17" s="30" t="s">
        <v>556</v>
      </c>
      <c r="B17" s="17"/>
      <c r="C17" s="239" t="n">
        <f aca="false">SUM(C5:C16)</f>
        <v>10583807.5717522</v>
      </c>
      <c r="D17" s="239" t="n">
        <f aca="false">SUM(D5:D16)</f>
        <v>11373789.8548859</v>
      </c>
      <c r="E17" s="239" t="n">
        <f aca="false">SUM(E5:E16)</f>
        <v>12367772.2477345</v>
      </c>
      <c r="F17" s="239" t="n">
        <f aca="false">SUM(F5:F16)</f>
        <v>13698099.1080916</v>
      </c>
      <c r="G17" s="239" t="n">
        <f aca="false">SUM(G5:G16)</f>
        <v>15056605.3041552</v>
      </c>
    </row>
    <row r="18" customFormat="false" ht="14.25" hidden="false" customHeight="true" outlineLevel="0" collapsed="false">
      <c r="A18" s="17"/>
      <c r="B18" s="17"/>
      <c r="C18" s="17"/>
      <c r="D18" s="17"/>
      <c r="E18" s="17"/>
      <c r="F18" s="17"/>
      <c r="G18" s="17"/>
    </row>
    <row r="19" customFormat="false" ht="14.25" hidden="false" customHeight="true" outlineLevel="0" collapsed="false">
      <c r="A19" s="236" t="s">
        <v>213</v>
      </c>
      <c r="B19" s="236"/>
      <c r="C19" s="236"/>
      <c r="D19" s="236"/>
      <c r="E19" s="236"/>
      <c r="F19" s="236"/>
      <c r="G19" s="236"/>
    </row>
    <row r="20" customFormat="false" ht="14.25" hidden="false" customHeight="true" outlineLevel="0" collapsed="false">
      <c r="A20" s="17" t="s">
        <v>508</v>
      </c>
      <c r="B20" s="17"/>
      <c r="C20" s="238" t="n">
        <f aca="false">-'Proj Schedules'!C20</f>
        <v>-728373.8919</v>
      </c>
      <c r="D20" s="238" t="n">
        <f aca="false">-'Proj Schedules'!D20</f>
        <v>-783184.891377</v>
      </c>
      <c r="E20" s="238" t="n">
        <f aca="false">-'Proj Schedules'!E20</f>
        <v>-842554.58985093</v>
      </c>
      <c r="F20" s="238" t="n">
        <f aca="false">-'Proj Schedules'!F20</f>
        <v>-906895.13817584</v>
      </c>
      <c r="G20" s="238" t="n">
        <f aca="false">-'Proj Schedules'!G20</f>
        <v>-976658.427399083</v>
      </c>
    </row>
    <row r="21" customFormat="false" ht="14.25" hidden="false" customHeight="true" outlineLevel="0" collapsed="false">
      <c r="A21" s="17" t="s">
        <v>557</v>
      </c>
      <c r="B21" s="17"/>
      <c r="C21" s="238" t="n">
        <f aca="false">-('Proj Schedules'!C43-'Proj Schedules'!B43)</f>
        <v>-0</v>
      </c>
      <c r="D21" s="238" t="n">
        <f aca="false">-('Proj Schedules'!D43-'Proj Schedules'!C43)</f>
        <v>-0</v>
      </c>
      <c r="E21" s="238" t="n">
        <f aca="false">-('Proj Schedules'!E43-'Proj Schedules'!D43)</f>
        <v>-0</v>
      </c>
      <c r="F21" s="238" t="n">
        <f aca="false">-('Proj Schedules'!F43-'Proj Schedules'!E43)</f>
        <v>-0</v>
      </c>
      <c r="G21" s="238" t="n">
        <f aca="false">-('Proj Schedules'!G43-'Proj Schedules'!F43)</f>
        <v>-0</v>
      </c>
    </row>
    <row r="22" customFormat="false" ht="14.25" hidden="false" customHeight="true" outlineLevel="0" collapsed="false">
      <c r="A22" s="30" t="s">
        <v>558</v>
      </c>
      <c r="B22" s="17"/>
      <c r="C22" s="239" t="n">
        <f aca="false">SUM(C20:C21)</f>
        <v>-728373.8919</v>
      </c>
      <c r="D22" s="239" t="n">
        <f aca="false">SUM(D20:D21)</f>
        <v>-783184.891377</v>
      </c>
      <c r="E22" s="239" t="n">
        <f aca="false">SUM(E20:E21)</f>
        <v>-842554.58985093</v>
      </c>
      <c r="F22" s="239" t="n">
        <f aca="false">SUM(F20:F21)</f>
        <v>-906895.13817584</v>
      </c>
      <c r="G22" s="239" t="n">
        <f aca="false">SUM(G20:G21)</f>
        <v>-976658.427399083</v>
      </c>
    </row>
    <row r="23" customFormat="false" ht="14.25" hidden="false" customHeight="true" outlineLevel="0" collapsed="false">
      <c r="A23" s="17"/>
      <c r="B23" s="17"/>
      <c r="C23" s="17"/>
      <c r="D23" s="17"/>
      <c r="E23" s="17"/>
      <c r="F23" s="17"/>
      <c r="G23" s="17"/>
    </row>
    <row r="24" customFormat="false" ht="14.25" hidden="false" customHeight="true" outlineLevel="0" collapsed="false">
      <c r="A24" s="236" t="s">
        <v>219</v>
      </c>
      <c r="B24" s="236"/>
      <c r="C24" s="236"/>
      <c r="D24" s="236"/>
      <c r="E24" s="236"/>
      <c r="F24" s="236"/>
      <c r="G24" s="236"/>
    </row>
    <row r="25" customFormat="false" ht="14.25" hidden="false" customHeight="true" outlineLevel="0" collapsed="false">
      <c r="A25" s="17" t="s">
        <v>221</v>
      </c>
      <c r="B25" s="17"/>
      <c r="C25" s="238" t="n">
        <f aca="false">-'Proj Schedules'!C26</f>
        <v>-1000000</v>
      </c>
      <c r="D25" s="238" t="n">
        <f aca="false">-'Proj Schedules'!D26</f>
        <v>-1526000</v>
      </c>
      <c r="E25" s="238" t="n">
        <f aca="false">-'Proj Schedules'!E26</f>
        <v>-3500000</v>
      </c>
      <c r="F25" s="238" t="n">
        <f aca="false">-'Proj Schedules'!F26</f>
        <v>-4401000</v>
      </c>
      <c r="G25" s="238" t="n">
        <f aca="false">-'Proj Schedules'!G26</f>
        <v>-2292000</v>
      </c>
    </row>
    <row r="26" customFormat="false" ht="14.25" hidden="false" customHeight="true" outlineLevel="0" collapsed="false">
      <c r="A26" s="17" t="s">
        <v>222</v>
      </c>
      <c r="B26" s="17"/>
      <c r="C26" s="238" t="n">
        <f aca="false">'Proj Schedules'!C47</f>
        <v>718662.240008</v>
      </c>
      <c r="D26" s="238" t="n">
        <f aca="false">'Proj Schedules'!D47</f>
        <v>772742.42615864</v>
      </c>
      <c r="E26" s="238" t="n">
        <f aca="false">'Proj Schedules'!E47</f>
        <v>831320.528652918</v>
      </c>
      <c r="F26" s="238" t="n">
        <f aca="false">'Proj Schedules'!F47</f>
        <v>894803.203000163</v>
      </c>
      <c r="G26" s="238" t="n">
        <f aca="false">'Proj Schedules'!G47</f>
        <v>963636.315033762</v>
      </c>
    </row>
    <row r="27" customFormat="false" ht="14.25" hidden="false" customHeight="true" outlineLevel="0" collapsed="false">
      <c r="A27" s="17" t="s">
        <v>528</v>
      </c>
      <c r="B27" s="17"/>
      <c r="C27" s="238" t="n">
        <f aca="false">-'Proj Schedules'!C48</f>
        <v>-9127167</v>
      </c>
      <c r="D27" s="238" t="n">
        <f aca="false">-'Proj Schedules'!D48</f>
        <v>-9127167</v>
      </c>
      <c r="E27" s="238" t="n">
        <f aca="false">-'Proj Schedules'!E48</f>
        <v>-9127167</v>
      </c>
      <c r="F27" s="238" t="n">
        <f aca="false">-'Proj Schedules'!F48</f>
        <v>-9127167</v>
      </c>
      <c r="G27" s="238" t="n">
        <f aca="false">-'Proj Schedules'!G48</f>
        <v>-9127167</v>
      </c>
    </row>
    <row r="28" customFormat="false" ht="14.25" hidden="false" customHeight="true" outlineLevel="0" collapsed="false">
      <c r="A28" s="30" t="s">
        <v>559</v>
      </c>
      <c r="B28" s="17"/>
      <c r="C28" s="239" t="n">
        <f aca="false">SUM(C25:C27)</f>
        <v>-9408504.759992</v>
      </c>
      <c r="D28" s="239" t="n">
        <f aca="false">SUM(D25:D27)</f>
        <v>-9880424.57384136</v>
      </c>
      <c r="E28" s="239" t="n">
        <f aca="false">SUM(E25:E27)</f>
        <v>-11795846.4713471</v>
      </c>
      <c r="F28" s="239" t="n">
        <f aca="false">SUM(F25:F27)</f>
        <v>-12633363.7969998</v>
      </c>
      <c r="G28" s="239" t="n">
        <f aca="false">SUM(G25:G27)</f>
        <v>-10455530.6849662</v>
      </c>
    </row>
    <row r="29" customFormat="false" ht="14.25" hidden="false" customHeight="true" outlineLevel="0" collapsed="false">
      <c r="A29" s="17"/>
      <c r="B29" s="17"/>
      <c r="C29" s="17"/>
      <c r="D29" s="17"/>
      <c r="E29" s="17"/>
      <c r="F29" s="17"/>
      <c r="G29" s="17"/>
    </row>
    <row r="30" customFormat="false" ht="14.25" hidden="false" customHeight="true" outlineLevel="0" collapsed="false">
      <c r="A30" s="30" t="s">
        <v>560</v>
      </c>
      <c r="B30" s="17"/>
      <c r="C30" s="243" t="n">
        <f aca="false">C17+C22+C28</f>
        <v>446928.919860167</v>
      </c>
      <c r="D30" s="243" t="n">
        <f aca="false">D17+D22+D28</f>
        <v>710180.389667573</v>
      </c>
      <c r="E30" s="243" t="n">
        <f aca="false">E17+E22+E28</f>
        <v>-270628.813463468</v>
      </c>
      <c r="F30" s="243" t="n">
        <f aca="false">F17+F22+F28</f>
        <v>157840.172915893</v>
      </c>
      <c r="G30" s="243" t="n">
        <f aca="false">G17+G22+G28</f>
        <v>3624416.19178985</v>
      </c>
    </row>
    <row r="31" customFormat="false" ht="14.25" hidden="false" customHeight="true" outlineLevel="0" collapsed="false">
      <c r="A31" s="17" t="s">
        <v>561</v>
      </c>
      <c r="B31" s="17"/>
      <c r="C31" s="237" t="n">
        <f aca="false">'Balance Sheet Input'!$D$6</f>
        <v>9033681</v>
      </c>
      <c r="D31" s="238" t="n">
        <f aca="false">C32</f>
        <v>9480609.91986017</v>
      </c>
      <c r="E31" s="238" t="n">
        <f aca="false">D32</f>
        <v>10190790.3095277</v>
      </c>
      <c r="F31" s="238" t="n">
        <f aca="false">E32</f>
        <v>9920161.49606427</v>
      </c>
      <c r="G31" s="238" t="n">
        <f aca="false">F32</f>
        <v>10078001.6689802</v>
      </c>
    </row>
    <row r="32" customFormat="false" ht="14.25" hidden="false" customHeight="true" outlineLevel="0" collapsed="false">
      <c r="A32" s="30" t="s">
        <v>562</v>
      </c>
      <c r="B32" s="17"/>
      <c r="C32" s="239" t="n">
        <f aca="false">C31+C30</f>
        <v>9480609.91986017</v>
      </c>
      <c r="D32" s="239" t="n">
        <f aca="false">D31+D30</f>
        <v>10190790.3095277</v>
      </c>
      <c r="E32" s="239" t="n">
        <f aca="false">E31+E30</f>
        <v>9920161.49606427</v>
      </c>
      <c r="F32" s="239" t="n">
        <f aca="false">F31+F30</f>
        <v>10078001.6689802</v>
      </c>
      <c r="G32" s="239" t="n">
        <f aca="false">G31+G30</f>
        <v>13702417.86077</v>
      </c>
    </row>
  </sheetData>
  <mergeCells count="4">
    <mergeCell ref="A1:G1"/>
    <mergeCell ref="A4:G4"/>
    <mergeCell ref="A19:G19"/>
    <mergeCell ref="A24:G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G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375" defaultRowHeight="15" zeroHeight="false" outlineLevelRow="0" outlineLevelCol="0"/>
  <cols>
    <col collapsed="false" customWidth="true" hidden="false" outlineLevel="0" max="1" min="1" style="1" width="48"/>
    <col collapsed="false" customWidth="true" hidden="false" outlineLevel="0" max="7" min="2" style="1" width="13"/>
  </cols>
  <sheetData>
    <row r="1" customFormat="false" ht="19.5" hidden="false" customHeight="true" outlineLevel="0" collapsed="false">
      <c r="A1" s="244" t="s">
        <v>563</v>
      </c>
    </row>
    <row r="2" customFormat="false" ht="15" hidden="false" customHeight="true" outlineLevel="0" collapsed="false">
      <c r="A2" s="245" t="s">
        <v>564</v>
      </c>
    </row>
    <row r="4" customFormat="false" ht="15" hidden="false" customHeight="true" outlineLevel="0" collapsed="false">
      <c r="A4" s="232" t="s">
        <v>565</v>
      </c>
      <c r="B4" s="87"/>
      <c r="C4" s="87"/>
      <c r="D4" s="87"/>
      <c r="E4" s="87"/>
      <c r="F4" s="87"/>
      <c r="G4" s="87"/>
    </row>
    <row r="5" customFormat="false" ht="15" hidden="false" customHeight="true" outlineLevel="0" collapsed="false">
      <c r="A5" s="1" t="s">
        <v>566</v>
      </c>
      <c r="C5" s="19" t="s">
        <v>56</v>
      </c>
      <c r="D5" s="19" t="s">
        <v>57</v>
      </c>
      <c r="E5" s="19" t="s">
        <v>58</v>
      </c>
      <c r="F5" s="19" t="s">
        <v>59</v>
      </c>
      <c r="G5" s="19" t="s">
        <v>60</v>
      </c>
    </row>
    <row r="6" customFormat="false" ht="15" hidden="false" customHeight="true" outlineLevel="0" collapsed="false">
      <c r="A6" s="1" t="s">
        <v>567</v>
      </c>
      <c r="C6" s="246" t="n">
        <f aca="false">'Projected BS'!C33</f>
        <v>0</v>
      </c>
      <c r="D6" s="246" t="n">
        <f aca="false">'Projected BS'!D33</f>
        <v>0</v>
      </c>
      <c r="E6" s="246" t="n">
        <f aca="false">'Projected BS'!E33</f>
        <v>0</v>
      </c>
      <c r="F6" s="246" t="n">
        <f aca="false">'Projected BS'!F33</f>
        <v>0</v>
      </c>
      <c r="G6" s="246" t="n">
        <f aca="false">'Projected BS'!G33</f>
        <v>0</v>
      </c>
    </row>
    <row r="7" customFormat="false" ht="15" hidden="false" customHeight="true" outlineLevel="0" collapsed="false">
      <c r="A7" s="19" t="s">
        <v>568</v>
      </c>
      <c r="C7" s="19" t="str">
        <f aca="false">IF(ROUND(C6,0)=0,"PASS","FAIL")</f>
        <v>PASS</v>
      </c>
      <c r="D7" s="19" t="str">
        <f aca="false">IF(ROUND(D6,0)=0,"PASS","FAIL")</f>
        <v>PASS</v>
      </c>
      <c r="E7" s="19" t="str">
        <f aca="false">IF(ROUND(E6,0)=0,"PASS","FAIL")</f>
        <v>PASS</v>
      </c>
      <c r="F7" s="19" t="str">
        <f aca="false">IF(ROUND(F6,0)=0,"PASS","FAIL")</f>
        <v>PASS</v>
      </c>
      <c r="G7" s="19" t="str">
        <f aca="false">IF(ROUND(G6,0)=0,"PASS","FAIL")</f>
        <v>PASS</v>
      </c>
    </row>
    <row r="9" customFormat="false" ht="15" hidden="false" customHeight="true" outlineLevel="0" collapsed="false">
      <c r="A9" s="232" t="s">
        <v>569</v>
      </c>
      <c r="B9" s="87"/>
      <c r="C9" s="87"/>
      <c r="D9" s="87"/>
      <c r="E9" s="87"/>
      <c r="F9" s="87"/>
      <c r="G9" s="87"/>
    </row>
    <row r="10" customFormat="false" ht="15" hidden="false" customHeight="true" outlineLevel="0" collapsed="false">
      <c r="A10" s="1" t="s">
        <v>566</v>
      </c>
      <c r="C10" s="19" t="s">
        <v>56</v>
      </c>
      <c r="D10" s="19" t="s">
        <v>57</v>
      </c>
      <c r="E10" s="19" t="s">
        <v>58</v>
      </c>
      <c r="F10" s="19" t="s">
        <v>59</v>
      </c>
      <c r="G10" s="19" t="s">
        <v>60</v>
      </c>
    </row>
    <row r="11" customFormat="false" ht="15" hidden="false" customHeight="true" outlineLevel="0" collapsed="false">
      <c r="A11" s="1" t="s">
        <v>570</v>
      </c>
      <c r="C11" s="246" t="n">
        <f aca="false">'Projected CFS'!C32-'Projected BS'!C5</f>
        <v>0</v>
      </c>
      <c r="D11" s="246" t="n">
        <f aca="false">'Projected CFS'!D32-'Projected BS'!D5</f>
        <v>0</v>
      </c>
      <c r="E11" s="246" t="n">
        <f aca="false">'Projected CFS'!E32-'Projected BS'!E5</f>
        <v>0</v>
      </c>
      <c r="F11" s="246" t="n">
        <f aca="false">'Projected CFS'!F32-'Projected BS'!F5</f>
        <v>0</v>
      </c>
      <c r="G11" s="246" t="n">
        <f aca="false">'Projected CFS'!G32-'Projected BS'!G5</f>
        <v>0</v>
      </c>
    </row>
    <row r="12" customFormat="false" ht="15" hidden="false" customHeight="true" outlineLevel="0" collapsed="false">
      <c r="A12" s="19" t="s">
        <v>568</v>
      </c>
      <c r="C12" s="19" t="str">
        <f aca="false">IF(ROUND(C11,0)=0,"PASS","FAIL")</f>
        <v>PASS</v>
      </c>
      <c r="D12" s="19" t="str">
        <f aca="false">IF(ROUND(D11,0)=0,"PASS","FAIL")</f>
        <v>PASS</v>
      </c>
      <c r="E12" s="19" t="str">
        <f aca="false">IF(ROUND(E11,0)=0,"PASS","FAIL")</f>
        <v>PASS</v>
      </c>
      <c r="F12" s="19" t="str">
        <f aca="false">IF(ROUND(F11,0)=0,"PASS","FAIL")</f>
        <v>PASS</v>
      </c>
      <c r="G12" s="19" t="str">
        <f aca="false">IF(ROUND(G11,0)=0,"PASS","FAIL")</f>
        <v>PASS</v>
      </c>
    </row>
    <row r="14" customFormat="false" ht="15" hidden="false" customHeight="true" outlineLevel="0" collapsed="false">
      <c r="A14" s="232" t="s">
        <v>571</v>
      </c>
      <c r="B14" s="87"/>
      <c r="C14" s="87"/>
      <c r="D14" s="87"/>
      <c r="E14" s="87"/>
      <c r="F14" s="87"/>
      <c r="G14" s="87"/>
    </row>
    <row r="15" customFormat="false" ht="15" hidden="false" customHeight="true" outlineLevel="0" collapsed="false">
      <c r="A15" s="1" t="s">
        <v>566</v>
      </c>
      <c r="C15" s="19" t="s">
        <v>56</v>
      </c>
      <c r="D15" s="19" t="s">
        <v>57</v>
      </c>
      <c r="E15" s="19" t="s">
        <v>58</v>
      </c>
      <c r="F15" s="19" t="s">
        <v>59</v>
      </c>
      <c r="G15" s="19" t="s">
        <v>60</v>
      </c>
    </row>
    <row r="16" customFormat="false" ht="15" hidden="false" customHeight="true" outlineLevel="0" collapsed="false">
      <c r="A16" s="1" t="s">
        <v>572</v>
      </c>
      <c r="C16" s="246" t="n">
        <f aca="false">'Projected BS'!C29-('Projected BS'!B29+'Projected PnL'!C13)</f>
        <v>0</v>
      </c>
      <c r="D16" s="246" t="n">
        <f aca="false">'Projected BS'!D29-('Projected BS'!C29+'Projected PnL'!D13)</f>
        <v>0</v>
      </c>
      <c r="E16" s="246" t="n">
        <f aca="false">'Projected BS'!E29-('Projected BS'!D29+'Projected PnL'!E13)</f>
        <v>0</v>
      </c>
      <c r="F16" s="246" t="n">
        <f aca="false">'Projected BS'!F29-('Projected BS'!E29+'Projected PnL'!F13)</f>
        <v>0</v>
      </c>
      <c r="G16" s="246" t="n">
        <f aca="false">'Projected BS'!G29-('Projected BS'!F29+'Projected PnL'!G13)</f>
        <v>0</v>
      </c>
    </row>
    <row r="17" customFormat="false" ht="15" hidden="false" customHeight="true" outlineLevel="0" collapsed="false">
      <c r="A17" s="19" t="s">
        <v>568</v>
      </c>
      <c r="C17" s="19" t="str">
        <f aca="false">IF(ROUND(C16,0)=0,"PASS","FAIL")</f>
        <v>PASS</v>
      </c>
      <c r="D17" s="19" t="str">
        <f aca="false">IF(ROUND(D16,0)=0,"PASS","FAIL")</f>
        <v>PASS</v>
      </c>
      <c r="E17" s="19" t="str">
        <f aca="false">IF(ROUND(E16,0)=0,"PASS","FAIL")</f>
        <v>PASS</v>
      </c>
      <c r="F17" s="19" t="str">
        <f aca="false">IF(ROUND(F16,0)=0,"PASS","FAIL")</f>
        <v>PASS</v>
      </c>
      <c r="G17" s="19" t="str">
        <f aca="false">IF(ROUND(G16,0)=0,"PASS","FAIL")</f>
        <v>PASS</v>
      </c>
    </row>
    <row r="19" customFormat="false" ht="15" hidden="false" customHeight="true" outlineLevel="0" collapsed="false">
      <c r="A19" s="232" t="s">
        <v>573</v>
      </c>
      <c r="B19" s="87"/>
      <c r="C19" s="87"/>
      <c r="D19" s="87"/>
      <c r="E19" s="87"/>
      <c r="F19" s="87"/>
      <c r="G19" s="87"/>
    </row>
    <row r="20" customFormat="false" ht="15" hidden="false" customHeight="true" outlineLevel="0" collapsed="false">
      <c r="A20" s="1" t="s">
        <v>566</v>
      </c>
      <c r="C20" s="19" t="s">
        <v>56</v>
      </c>
      <c r="D20" s="19" t="s">
        <v>57</v>
      </c>
      <c r="E20" s="19" t="s">
        <v>58</v>
      </c>
      <c r="F20" s="19" t="s">
        <v>59</v>
      </c>
      <c r="G20" s="19" t="s">
        <v>60</v>
      </c>
    </row>
    <row r="21" customFormat="false" ht="15" hidden="false" customHeight="true" outlineLevel="0" collapsed="false">
      <c r="A21" s="1" t="s">
        <v>574</v>
      </c>
      <c r="C21" s="246" t="n">
        <f aca="false">'Proj Schedules'!C9-'Projected PnL'!C4</f>
        <v>0</v>
      </c>
      <c r="D21" s="246" t="n">
        <f aca="false">'Proj Schedules'!D9-'Projected PnL'!D4</f>
        <v>0</v>
      </c>
      <c r="E21" s="246" t="n">
        <f aca="false">'Proj Schedules'!E9-'Projected PnL'!E4</f>
        <v>0</v>
      </c>
      <c r="F21" s="246" t="n">
        <f aca="false">'Proj Schedules'!F9-'Projected PnL'!F4</f>
        <v>0</v>
      </c>
      <c r="G21" s="246" t="n">
        <f aca="false">'Proj Schedules'!G9-'Projected PnL'!G4</f>
        <v>0</v>
      </c>
    </row>
    <row r="22" customFormat="false" ht="15" hidden="false" customHeight="true" outlineLevel="0" collapsed="false">
      <c r="A22" s="19" t="s">
        <v>568</v>
      </c>
      <c r="C22" s="19" t="str">
        <f aca="false">IF(ROUND(C21,0)=0,"PASS","FAIL")</f>
        <v>PASS</v>
      </c>
      <c r="D22" s="19" t="str">
        <f aca="false">IF(ROUND(D21,0)=0,"PASS","FAIL")</f>
        <v>PASS</v>
      </c>
      <c r="E22" s="19" t="str">
        <f aca="false">IF(ROUND(E21,0)=0,"PASS","FAIL")</f>
        <v>PASS</v>
      </c>
      <c r="F22" s="19" t="str">
        <f aca="false">IF(ROUND(F21,0)=0,"PASS","FAIL")</f>
        <v>PASS</v>
      </c>
      <c r="G22" s="19" t="str">
        <f aca="false">IF(ROUND(G21,0)=0,"PASS","FAIL")</f>
        <v>PASS</v>
      </c>
    </row>
    <row r="24" customFormat="false" ht="15" hidden="false" customHeight="true" outlineLevel="0" collapsed="false">
      <c r="A24" s="232" t="s">
        <v>575</v>
      </c>
      <c r="B24" s="87"/>
      <c r="C24" s="87"/>
      <c r="D24" s="87"/>
      <c r="E24" s="87"/>
      <c r="F24" s="87"/>
      <c r="G24" s="87"/>
    </row>
    <row r="25" customFormat="false" ht="15" hidden="false" customHeight="true" outlineLevel="0" collapsed="false">
      <c r="A25" s="1" t="s">
        <v>576</v>
      </c>
      <c r="B25" s="19" t="str">
        <f aca="false">IF(ROUND(Assumptions!D50,6)=ROUND(CHOOSE(MATCH('Model Control'!$B$3,{"Worst","Neutral","Best"},0),Assumptions!D47,Assumptions!D48,Assumptions!D49),6),"PASS","FAIL")</f>
        <v>PASS</v>
      </c>
    </row>
    <row r="28" customFormat="false" ht="15" hidden="false" customHeight="true" outlineLevel="0" collapsed="false">
      <c r="A28" s="232" t="s">
        <v>577</v>
      </c>
      <c r="B28" s="87"/>
      <c r="C28" s="87"/>
      <c r="D28" s="87"/>
      <c r="E28" s="87"/>
    </row>
    <row r="29" customFormat="false" ht="30" hidden="false" customHeight="true" outlineLevel="0" collapsed="false">
      <c r="A29" s="8" t="s">
        <v>578</v>
      </c>
      <c r="B29" s="8"/>
      <c r="C29" s="8"/>
      <c r="D29" s="8"/>
      <c r="E29" s="8"/>
    </row>
    <row r="31" customFormat="false" ht="15" hidden="false" customHeight="true" outlineLevel="0" collapsed="false">
      <c r="A31" s="19" t="s">
        <v>579</v>
      </c>
      <c r="C31" s="41" t="s">
        <v>68</v>
      </c>
      <c r="D31" s="41" t="s">
        <v>38</v>
      </c>
      <c r="E31" s="41" t="s">
        <v>69</v>
      </c>
    </row>
    <row r="32" customFormat="false" ht="15" hidden="false" customHeight="true" outlineLevel="0" collapsed="false">
      <c r="A32" s="1" t="s">
        <v>580</v>
      </c>
      <c r="C32" s="246" t="n">
        <v>47348802.73</v>
      </c>
      <c r="D32" s="246" t="n">
        <v>48558259.46</v>
      </c>
      <c r="E32" s="246" t="n">
        <v>49767716.19</v>
      </c>
    </row>
    <row r="33" customFormat="false" ht="15" hidden="false" customHeight="true" outlineLevel="0" collapsed="false">
      <c r="A33" s="1" t="s">
        <v>581</v>
      </c>
      <c r="C33" s="246" t="n">
        <v>57263751.413822</v>
      </c>
      <c r="D33" s="246" t="n">
        <v>65110561.8266056</v>
      </c>
      <c r="E33" s="246" t="n">
        <v>73843073.030406</v>
      </c>
    </row>
    <row r="34" customFormat="false" ht="15" hidden="false" customHeight="true" outlineLevel="0" collapsed="false">
      <c r="A34" s="1" t="s">
        <v>582</v>
      </c>
      <c r="C34" s="246" t="n">
        <v>9847161.3556505</v>
      </c>
      <c r="D34" s="246" t="n">
        <v>10926626.41429</v>
      </c>
      <c r="E34" s="246" t="n">
        <v>11794843.5767397</v>
      </c>
    </row>
    <row r="35" customFormat="false" ht="15" hidden="false" customHeight="true" outlineLevel="0" collapsed="false">
      <c r="A35" s="1" t="s">
        <v>583</v>
      </c>
      <c r="C35" s="246" t="n">
        <v>11022587.6055925</v>
      </c>
      <c r="D35" s="246" t="n">
        <v>16725766.9200934</v>
      </c>
      <c r="E35" s="246" t="n">
        <v>21608345.0792345</v>
      </c>
    </row>
    <row r="36" customFormat="false" ht="15" hidden="false" customHeight="true" outlineLevel="0" collapsed="false">
      <c r="A36" s="1" t="s">
        <v>584</v>
      </c>
      <c r="C36" s="247" t="n">
        <v>0.261</v>
      </c>
      <c r="D36" s="247" t="n">
        <v>0.275</v>
      </c>
      <c r="E36" s="247" t="n">
        <v>0.285</v>
      </c>
    </row>
    <row r="37" customFormat="false" ht="15" hidden="false" customHeight="true" outlineLevel="0" collapsed="false">
      <c r="A37" s="1" t="s">
        <v>585</v>
      </c>
      <c r="C37" s="247" t="n">
        <v>0.234</v>
      </c>
      <c r="D37" s="247" t="n">
        <v>0.299</v>
      </c>
      <c r="E37" s="247" t="n">
        <v>0.333</v>
      </c>
    </row>
    <row r="38" customFormat="false" ht="15" hidden="false" customHeight="true" outlineLevel="0" collapsed="false">
      <c r="A38" s="1" t="s">
        <v>586</v>
      </c>
      <c r="C38" s="247" t="n">
        <v>0.109294504809647</v>
      </c>
      <c r="D38" s="247" t="n">
        <v>0.109294504809647</v>
      </c>
      <c r="E38" s="247" t="n">
        <v>0.109294504809647</v>
      </c>
    </row>
    <row r="39" customFormat="false" ht="15" hidden="false" customHeight="true" outlineLevel="0" collapsed="false">
      <c r="A39" s="1" t="s">
        <v>587</v>
      </c>
      <c r="C39" s="246" t="n">
        <v>318554252.12937</v>
      </c>
      <c r="D39" s="246" t="n">
        <v>369168581.59864</v>
      </c>
      <c r="E39" s="246" t="n">
        <v>411586928.093055</v>
      </c>
    </row>
    <row r="40" customFormat="false" ht="15" hidden="false" customHeight="true" outlineLevel="0" collapsed="false">
      <c r="A40" s="1" t="s">
        <v>588</v>
      </c>
      <c r="C40" s="246" t="n">
        <v>313153775.12937</v>
      </c>
      <c r="D40" s="246" t="n">
        <v>363768104.59864</v>
      </c>
      <c r="E40" s="246" t="n">
        <v>406186451.093055</v>
      </c>
    </row>
    <row r="41" customFormat="false" ht="15" hidden="false" customHeight="true" outlineLevel="0" collapsed="false">
      <c r="A41" s="1" t="s">
        <v>589</v>
      </c>
      <c r="C41" s="248" t="n">
        <v>72.0910800201041</v>
      </c>
      <c r="D41" s="248" t="n">
        <v>83.7429966365515</v>
      </c>
      <c r="E41" s="248" t="n">
        <v>93.508117335435</v>
      </c>
    </row>
    <row r="42" customFormat="false" ht="15" hidden="false" customHeight="true" outlineLevel="0" collapsed="false">
      <c r="A42" s="1" t="s">
        <v>590</v>
      </c>
      <c r="C42" s="247" t="n">
        <v>-0.0181002448909815</v>
      </c>
      <c r="D42" s="247" t="n">
        <v>0.140601969988442</v>
      </c>
      <c r="E42" s="247" t="n">
        <v>0.273605520776831</v>
      </c>
    </row>
    <row r="44" customFormat="false" ht="15" hidden="false" customHeight="true" outlineLevel="0" collapsed="false">
      <c r="A44" s="19" t="s">
        <v>591</v>
      </c>
      <c r="C44" s="249" t="str">
        <f aca="false">'Model Control'!$C$4</f>
        <v>Neutral Case</v>
      </c>
    </row>
    <row r="47" customFormat="false" ht="15" hidden="false" customHeight="true" outlineLevel="0" collapsed="false">
      <c r="A47" s="250" t="s">
        <v>592</v>
      </c>
      <c r="B47" s="251"/>
      <c r="C47" s="251"/>
      <c r="D47" s="251"/>
      <c r="E47" s="251"/>
    </row>
    <row r="49" customFormat="false" ht="15" hidden="false" customHeight="true" outlineLevel="0" collapsed="false">
      <c r="A49" s="30" t="s">
        <v>593</v>
      </c>
    </row>
    <row r="50" customFormat="false" ht="54.75" hidden="false" customHeight="true" outlineLevel="0" collapsed="false">
      <c r="A50" s="252" t="s">
        <v>594</v>
      </c>
      <c r="B50" s="252"/>
      <c r="C50" s="252"/>
      <c r="D50" s="252"/>
      <c r="E50" s="252"/>
    </row>
    <row r="51" customFormat="false" ht="39.75" hidden="false" customHeight="true" outlineLevel="0" collapsed="false">
      <c r="A51" s="253" t="s">
        <v>595</v>
      </c>
      <c r="B51" s="253"/>
      <c r="C51" s="253"/>
      <c r="D51" s="253"/>
      <c r="E51" s="253"/>
    </row>
    <row r="53" customFormat="false" ht="15" hidden="false" customHeight="true" outlineLevel="0" collapsed="false">
      <c r="A53" s="30" t="s">
        <v>596</v>
      </c>
    </row>
    <row r="54" customFormat="false" ht="54.75" hidden="false" customHeight="true" outlineLevel="0" collapsed="false">
      <c r="A54" s="252" t="s">
        <v>597</v>
      </c>
      <c r="B54" s="252"/>
      <c r="C54" s="252"/>
      <c r="D54" s="252"/>
      <c r="E54" s="252"/>
    </row>
    <row r="55" customFormat="false" ht="39.75" hidden="false" customHeight="true" outlineLevel="0" collapsed="false">
      <c r="A55" s="253" t="s">
        <v>598</v>
      </c>
      <c r="B55" s="253"/>
      <c r="C55" s="253"/>
      <c r="D55" s="253"/>
      <c r="E55" s="253"/>
    </row>
    <row r="57" customFormat="false" ht="15" hidden="false" customHeight="true" outlineLevel="0" collapsed="false">
      <c r="A57" s="30" t="s">
        <v>599</v>
      </c>
    </row>
    <row r="58" customFormat="false" ht="54.75" hidden="false" customHeight="true" outlineLevel="0" collapsed="false">
      <c r="A58" s="252" t="s">
        <v>600</v>
      </c>
      <c r="B58" s="252"/>
      <c r="C58" s="252"/>
      <c r="D58" s="252"/>
      <c r="E58" s="252"/>
    </row>
    <row r="59" customFormat="false" ht="39.75" hidden="false" customHeight="true" outlineLevel="0" collapsed="false">
      <c r="A59" s="253" t="s">
        <v>601</v>
      </c>
      <c r="B59" s="253"/>
      <c r="C59" s="253"/>
      <c r="D59" s="253"/>
      <c r="E59" s="253"/>
    </row>
    <row r="61" customFormat="false" ht="15" hidden="false" customHeight="true" outlineLevel="0" collapsed="false">
      <c r="A61" s="30" t="s">
        <v>602</v>
      </c>
    </row>
    <row r="62" customFormat="false" ht="54.75" hidden="false" customHeight="true" outlineLevel="0" collapsed="false">
      <c r="A62" s="252" t="s">
        <v>603</v>
      </c>
      <c r="B62" s="252"/>
      <c r="C62" s="252"/>
      <c r="D62" s="252"/>
      <c r="E62" s="252"/>
    </row>
    <row r="63" customFormat="false" ht="39.75" hidden="false" customHeight="true" outlineLevel="0" collapsed="false">
      <c r="A63" s="253" t="s">
        <v>604</v>
      </c>
      <c r="B63" s="253"/>
      <c r="C63" s="253"/>
      <c r="D63" s="253"/>
      <c r="E63" s="253"/>
    </row>
    <row r="65" customFormat="false" ht="15" hidden="false" customHeight="true" outlineLevel="0" collapsed="false">
      <c r="A65" s="30" t="s">
        <v>605</v>
      </c>
    </row>
    <row r="66" customFormat="false" ht="54.75" hidden="false" customHeight="true" outlineLevel="0" collapsed="false">
      <c r="A66" s="252" t="s">
        <v>606</v>
      </c>
      <c r="B66" s="252"/>
      <c r="C66" s="252"/>
      <c r="D66" s="252"/>
      <c r="E66" s="252"/>
    </row>
    <row r="67" customFormat="false" ht="39.75" hidden="false" customHeight="true" outlineLevel="0" collapsed="false">
      <c r="A67" s="253" t="s">
        <v>607</v>
      </c>
      <c r="B67" s="253"/>
      <c r="C67" s="253"/>
      <c r="D67" s="253"/>
      <c r="E67" s="253"/>
    </row>
    <row r="69" customFormat="false" ht="39.75" hidden="false" customHeight="true" outlineLevel="0" collapsed="false">
      <c r="A69" s="8" t="s">
        <v>608</v>
      </c>
      <c r="B69" s="8"/>
      <c r="C69" s="8"/>
      <c r="D69" s="8"/>
      <c r="E69" s="8"/>
    </row>
    <row r="72" customFormat="false" ht="15" hidden="false" customHeight="true" outlineLevel="0" collapsed="false">
      <c r="A72" s="254" t="s">
        <v>609</v>
      </c>
      <c r="B72" s="255"/>
      <c r="C72" s="255"/>
      <c r="D72" s="255"/>
      <c r="E72" s="255"/>
    </row>
    <row r="74" customFormat="false" ht="30" hidden="false" customHeight="true" outlineLevel="0" collapsed="false">
      <c r="A74" s="252" t="s">
        <v>610</v>
      </c>
      <c r="B74" s="252"/>
      <c r="C74" s="252"/>
      <c r="D74" s="252"/>
      <c r="E74" s="252"/>
    </row>
    <row r="75" customFormat="false" ht="30" hidden="false" customHeight="true" outlineLevel="0" collapsed="false">
      <c r="A75" s="252" t="s">
        <v>611</v>
      </c>
      <c r="B75" s="252"/>
      <c r="C75" s="252"/>
      <c r="D75" s="252"/>
      <c r="E75" s="252"/>
    </row>
    <row r="76" customFormat="false" ht="30" hidden="false" customHeight="true" outlineLevel="0" collapsed="false">
      <c r="A76" s="252" t="s">
        <v>612</v>
      </c>
      <c r="B76" s="252"/>
      <c r="C76" s="252"/>
      <c r="D76" s="252"/>
      <c r="E76" s="252"/>
    </row>
  </sheetData>
  <mergeCells count="15">
    <mergeCell ref="A29:E29"/>
    <mergeCell ref="A50:E50"/>
    <mergeCell ref="A51:E51"/>
    <mergeCell ref="A54:E54"/>
    <mergeCell ref="A55:E55"/>
    <mergeCell ref="A58:E58"/>
    <mergeCell ref="A59:E59"/>
    <mergeCell ref="A62:E62"/>
    <mergeCell ref="A63:E63"/>
    <mergeCell ref="A66:E66"/>
    <mergeCell ref="A67:E67"/>
    <mergeCell ref="A69:E69"/>
    <mergeCell ref="A74:E74"/>
    <mergeCell ref="A75:E75"/>
    <mergeCell ref="A76:E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04D"/>
    <pageSetUpPr fitToPage="false"/>
  </sheetPr>
  <dimension ref="A1:I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375" defaultRowHeight="15" zeroHeight="false" outlineLevelRow="0" outlineLevelCol="0"/>
  <cols>
    <col collapsed="false" customWidth="true" hidden="false" outlineLevel="0" max="1" min="1" style="1" width="34"/>
    <col collapsed="false" customWidth="true" hidden="false" outlineLevel="0" max="9" min="2" style="1" width="12"/>
  </cols>
  <sheetData>
    <row r="1" customFormat="false" ht="17.25" hidden="false" customHeight="true" outlineLevel="0" collapsed="false">
      <c r="A1" s="256" t="s">
        <v>613</v>
      </c>
    </row>
    <row r="2" customFormat="false" ht="27.75" hidden="false" customHeight="true" outlineLevel="0" collapsed="false">
      <c r="A2" s="8" t="s">
        <v>614</v>
      </c>
      <c r="B2" s="8"/>
      <c r="C2" s="8"/>
      <c r="D2" s="8"/>
      <c r="E2" s="8"/>
      <c r="F2" s="8"/>
      <c r="G2" s="8"/>
      <c r="H2" s="8"/>
      <c r="I2" s="8"/>
    </row>
    <row r="4" customFormat="false" ht="15" hidden="false" customHeight="true" outlineLevel="0" collapsed="false">
      <c r="A4" s="257" t="s">
        <v>615</v>
      </c>
      <c r="B4" s="258"/>
      <c r="C4" s="258"/>
      <c r="D4" s="258"/>
      <c r="E4" s="258"/>
      <c r="F4" s="258"/>
      <c r="G4" s="258"/>
      <c r="H4" s="258"/>
      <c r="I4" s="258"/>
    </row>
    <row r="5" customFormat="false" ht="15" hidden="false" customHeight="true" outlineLevel="0" collapsed="false">
      <c r="A5" s="19" t="s">
        <v>566</v>
      </c>
      <c r="B5" s="41" t="s">
        <v>616</v>
      </c>
      <c r="C5" s="41" t="s">
        <v>617</v>
      </c>
      <c r="D5" s="41" t="s">
        <v>67</v>
      </c>
      <c r="E5" s="41" t="s">
        <v>56</v>
      </c>
      <c r="F5" s="41" t="s">
        <v>57</v>
      </c>
      <c r="G5" s="41" t="s">
        <v>58</v>
      </c>
      <c r="H5" s="41" t="s">
        <v>59</v>
      </c>
      <c r="I5" s="41" t="s">
        <v>60</v>
      </c>
    </row>
    <row r="6" customFormat="false" ht="15" hidden="false" customHeight="true" outlineLevel="0" collapsed="false">
      <c r="A6" s="19" t="s">
        <v>243</v>
      </c>
      <c r="B6" s="259" t="n">
        <f aca="false">'P&amp;L Input'!C3</f>
        <v>33723297</v>
      </c>
      <c r="C6" s="259" t="n">
        <f aca="false">'P&amp;L Input'!D3</f>
        <v>39000966</v>
      </c>
      <c r="D6" s="259" t="n">
        <f aca="false">'P&amp;L Input'!E3</f>
        <v>45183036</v>
      </c>
      <c r="E6" s="260" t="n">
        <f aca="false">SUM(E7:E10)</f>
        <v>47348802.73</v>
      </c>
      <c r="F6" s="260" t="n">
        <f aca="false">SUM(F7:F10)</f>
        <v>49632441.2137</v>
      </c>
      <c r="G6" s="260" t="n">
        <f aca="false">SUM(G7:G10)</f>
        <v>52041036.250969</v>
      </c>
      <c r="H6" s="260" t="n">
        <f aca="false">SUM(H7:H10)</f>
        <v>54582129.6895359</v>
      </c>
      <c r="I6" s="260" t="n">
        <f aca="false">SUM(I7:I10)</f>
        <v>57263751.413822</v>
      </c>
    </row>
    <row r="7" customFormat="false" ht="15" hidden="false" customHeight="true" outlineLevel="0" collapsed="false">
      <c r="A7" s="22" t="s">
        <v>618</v>
      </c>
      <c r="B7" s="246"/>
      <c r="C7" s="246"/>
      <c r="D7" s="259" t="n">
        <f aca="false">'Revenue Modelling'!D4</f>
        <v>19957152</v>
      </c>
      <c r="E7" s="260" t="n">
        <f aca="false">D7*(1+Assumptions!D7)</f>
        <v>20555866.56</v>
      </c>
      <c r="F7" s="260" t="n">
        <f aca="false">E7*(1+Assumptions!D7)</f>
        <v>21172542.5568</v>
      </c>
      <c r="G7" s="260" t="n">
        <f aca="false">F7*(1+Assumptions!D7)</f>
        <v>21807718.833504</v>
      </c>
      <c r="H7" s="260" t="n">
        <f aca="false">G7*(1+Assumptions!D7)</f>
        <v>22461950.3985091</v>
      </c>
      <c r="I7" s="260" t="n">
        <f aca="false">H7*(1+Assumptions!D7)</f>
        <v>23135808.9104644</v>
      </c>
    </row>
    <row r="8" customFormat="false" ht="15" hidden="false" customHeight="true" outlineLevel="0" collapsed="false">
      <c r="A8" s="22" t="s">
        <v>619</v>
      </c>
      <c r="B8" s="246"/>
      <c r="C8" s="246"/>
      <c r="D8" s="259" t="n">
        <f aca="false">'Revenue Modelling'!D6</f>
        <v>14514646</v>
      </c>
      <c r="E8" s="260" t="n">
        <f aca="false">D8*(1+Assumptions!D15)</f>
        <v>15385524.76</v>
      </c>
      <c r="F8" s="260" t="n">
        <f aca="false">E8*(1+Assumptions!D15)</f>
        <v>16308656.2456</v>
      </c>
      <c r="G8" s="260" t="n">
        <f aca="false">F8*(1+Assumptions!D15)</f>
        <v>17287175.620336</v>
      </c>
      <c r="H8" s="260" t="n">
        <f aca="false">G8*(1+Assumptions!D15)</f>
        <v>18324406.1575562</v>
      </c>
      <c r="I8" s="260" t="n">
        <f aca="false">H8*(1+Assumptions!D15)</f>
        <v>19423870.5270095</v>
      </c>
    </row>
    <row r="9" customFormat="false" ht="15" hidden="false" customHeight="true" outlineLevel="0" collapsed="false">
      <c r="A9" s="22" t="s">
        <v>620</v>
      </c>
      <c r="B9" s="246"/>
      <c r="C9" s="246"/>
      <c r="D9" s="259" t="n">
        <f aca="false">'Revenue Modelling'!D8</f>
        <v>5357521</v>
      </c>
      <c r="E9" s="260" t="n">
        <f aca="false">D9*(1+Assumptions!D23)</f>
        <v>5625397.05</v>
      </c>
      <c r="F9" s="260" t="n">
        <f aca="false">E9*(1+Assumptions!D23)</f>
        <v>5906666.9025</v>
      </c>
      <c r="G9" s="260" t="n">
        <f aca="false">F9*(1+Assumptions!D23)</f>
        <v>6202000.247625</v>
      </c>
      <c r="H9" s="260" t="n">
        <f aca="false">G9*(1+Assumptions!D23)</f>
        <v>6512100.26000625</v>
      </c>
      <c r="I9" s="260" t="n">
        <f aca="false">H9*(1+Assumptions!D23)</f>
        <v>6837705.27300656</v>
      </c>
    </row>
    <row r="10" customFormat="false" ht="15" hidden="false" customHeight="true" outlineLevel="0" collapsed="false">
      <c r="A10" s="22" t="s">
        <v>621</v>
      </c>
      <c r="B10" s="246"/>
      <c r="C10" s="246"/>
      <c r="D10" s="259" t="n">
        <f aca="false">'Revenue Modelling'!D10</f>
        <v>5353717</v>
      </c>
      <c r="E10" s="260" t="n">
        <f aca="false">D10*(1+Assumptions!D31)</f>
        <v>5782014.36</v>
      </c>
      <c r="F10" s="260" t="n">
        <f aca="false">E10*(1+Assumptions!D31)</f>
        <v>6244575.5088</v>
      </c>
      <c r="G10" s="260" t="n">
        <f aca="false">F10*(1+Assumptions!D31)</f>
        <v>6744141.549504</v>
      </c>
      <c r="H10" s="260" t="n">
        <f aca="false">G10*(1+Assumptions!D31)</f>
        <v>7283672.87346432</v>
      </c>
      <c r="I10" s="260" t="n">
        <f aca="false">H10*(1+Assumptions!D31)</f>
        <v>7866366.70334147</v>
      </c>
    </row>
    <row r="12" customFormat="false" ht="15" hidden="false" customHeight="true" outlineLevel="0" collapsed="false">
      <c r="A12" s="19" t="s">
        <v>622</v>
      </c>
      <c r="B12" s="259" t="n">
        <f aca="false">'P&amp;L Input'!C4</f>
        <v>19715368</v>
      </c>
      <c r="C12" s="259" t="n">
        <f aca="false">'P&amp;L Input'!D4</f>
        <v>21038464</v>
      </c>
      <c r="D12" s="259" t="n">
        <f aca="false">'P&amp;L Input'!E4</f>
        <v>23275329</v>
      </c>
      <c r="E12" s="260" t="n">
        <f aca="false">E6*Assumptions!D47</f>
        <v>24485675.7509758</v>
      </c>
      <c r="F12" s="260" t="n">
        <f aca="false">F6*Assumptions!E47</f>
        <v>25765887.7370329</v>
      </c>
      <c r="G12" s="260" t="n">
        <f aca="false">G6*Assumptions!F47</f>
        <v>27068312.3493615</v>
      </c>
      <c r="H12" s="260" t="n">
        <f aca="false">H6*Assumptions!G47</f>
        <v>28499185.7033161</v>
      </c>
      <c r="I12" s="260" t="n">
        <f aca="false">I6*Assumptions!H47</f>
        <v>30071142.834946</v>
      </c>
    </row>
    <row r="13" customFormat="false" ht="15" hidden="false" customHeight="true" outlineLevel="0" collapsed="false">
      <c r="A13" s="1" t="s">
        <v>623</v>
      </c>
      <c r="B13" s="246" t="n">
        <f aca="false">B6-B12</f>
        <v>14007929</v>
      </c>
      <c r="C13" s="246" t="n">
        <f aca="false">C6-C12</f>
        <v>17962502</v>
      </c>
      <c r="D13" s="246" t="n">
        <f aca="false">D6-D12</f>
        <v>21907707</v>
      </c>
      <c r="E13" s="246" t="n">
        <f aca="false">E6-E12</f>
        <v>22863126.9790242</v>
      </c>
      <c r="F13" s="246" t="n">
        <f aca="false">F6-F12</f>
        <v>23866553.4766671</v>
      </c>
      <c r="G13" s="246" t="n">
        <f aca="false">G6-G12</f>
        <v>24972723.9016075</v>
      </c>
      <c r="H13" s="246" t="n">
        <f aca="false">H6-H12</f>
        <v>26082943.9862197</v>
      </c>
      <c r="I13" s="246" t="n">
        <f aca="false">I6-I12</f>
        <v>27192608.578876</v>
      </c>
    </row>
    <row r="14" customFormat="false" ht="15" hidden="false" customHeight="true" outlineLevel="0" collapsed="false">
      <c r="A14" s="1" t="s">
        <v>624</v>
      </c>
      <c r="B14" s="259" t="n">
        <f aca="false">'P&amp;L Input'!C6</f>
        <v>2657883</v>
      </c>
      <c r="C14" s="259" t="n">
        <f aca="false">'P&amp;L Input'!D6</f>
        <v>2917554</v>
      </c>
      <c r="D14" s="259" t="n">
        <f aca="false">'P&amp;L Input'!E6</f>
        <v>3301306</v>
      </c>
      <c r="E14" s="260" t="n">
        <f aca="false">E6*Assumptions!D55</f>
        <v>3601586.67965745</v>
      </c>
      <c r="F14" s="260" t="n">
        <f aca="false">F6*Assumptions!E55</f>
        <v>3874556.52334749</v>
      </c>
      <c r="G14" s="260" t="n">
        <f aca="false">G6*Assumptions!F55</f>
        <v>4166665.56743383</v>
      </c>
      <c r="H14" s="260" t="n">
        <f aca="false">H6*Assumptions!G55</f>
        <v>4479282.47297176</v>
      </c>
      <c r="I14" s="260" t="n">
        <f aca="false">I6*Assumptions!H55</f>
        <v>4756613.51118912</v>
      </c>
    </row>
    <row r="15" customFormat="false" ht="15" hidden="false" customHeight="true" outlineLevel="0" collapsed="false">
      <c r="A15" s="1" t="s">
        <v>625</v>
      </c>
      <c r="B15" s="259" t="n">
        <f aca="false">'P&amp;L Input'!C7</f>
        <v>2675758</v>
      </c>
      <c r="C15" s="259" t="n">
        <f aca="false">'P&amp;L Input'!D7</f>
        <v>2925295</v>
      </c>
      <c r="D15" s="259" t="n">
        <f aca="false">'P&amp;L Input'!E7</f>
        <v>3391390</v>
      </c>
      <c r="E15" s="260" t="n">
        <f aca="false">E6*Assumptions!D63</f>
        <v>3648651.38957107</v>
      </c>
      <c r="F15" s="260" t="n">
        <f aca="false">F6*Assumptions!E63</f>
        <v>3874258.72870021</v>
      </c>
      <c r="G15" s="260" t="n">
        <f aca="false">G6*Assumptions!F63</f>
        <v>4166353.32121633</v>
      </c>
      <c r="H15" s="260" t="n">
        <f aca="false">H6*Assumptions!G63</f>
        <v>4424372.85050409</v>
      </c>
      <c r="I15" s="260" t="n">
        <f aca="false">I6*Assumptions!H63</f>
        <v>4756269.92868064</v>
      </c>
    </row>
    <row r="16" customFormat="false" ht="15" hidden="false" customHeight="true" outlineLevel="0" collapsed="false">
      <c r="A16" s="1" t="s">
        <v>626</v>
      </c>
      <c r="B16" s="259" t="n">
        <f aca="false">'P&amp;L Input'!C8</f>
        <v>1720285</v>
      </c>
      <c r="C16" s="259" t="n">
        <f aca="false">'P&amp;L Input'!D8</f>
        <v>1702039</v>
      </c>
      <c r="D16" s="259" t="n">
        <f aca="false">'P&amp;L Input'!E8</f>
        <v>1888408</v>
      </c>
      <c r="E16" s="260" t="n">
        <f aca="false">E6*Assumptions!D71</f>
        <v>2073640.81556035</v>
      </c>
      <c r="F16" s="260" t="n">
        <f aca="false">F6*Assumptions!E71</f>
        <v>2223285.20416769</v>
      </c>
      <c r="G16" s="260" t="n">
        <f aca="false">G6*Assumptions!F71</f>
        <v>2435260.2913641</v>
      </c>
      <c r="H16" s="260" t="n">
        <f aca="false">H6*Assumptions!G71</f>
        <v>2608752.88851137</v>
      </c>
      <c r="I16" s="260" t="n">
        <f aca="false">I6*Assumptions!H71</f>
        <v>2851448.50165127</v>
      </c>
    </row>
    <row r="17" customFormat="false" ht="15" hidden="false" customHeight="true" outlineLevel="0" collapsed="false">
      <c r="A17" s="19" t="s">
        <v>627</v>
      </c>
      <c r="B17" s="261" t="n">
        <f aca="false">B14+B15+B16</f>
        <v>7053926</v>
      </c>
      <c r="C17" s="261" t="n">
        <f aca="false">C14+C15+C16</f>
        <v>7544888</v>
      </c>
      <c r="D17" s="261" t="n">
        <f aca="false">D14+D15+D16</f>
        <v>8581104</v>
      </c>
      <c r="E17" s="261" t="n">
        <f aca="false">E14+E15+E16</f>
        <v>9323878.88478887</v>
      </c>
      <c r="F17" s="261" t="n">
        <f aca="false">F14+F15+F16</f>
        <v>9972100.45621539</v>
      </c>
      <c r="G17" s="261" t="n">
        <f aca="false">G14+G15+G16</f>
        <v>10768279.1800143</v>
      </c>
      <c r="H17" s="261" t="n">
        <f aca="false">H14+H15+H16</f>
        <v>11512408.2119872</v>
      </c>
      <c r="I17" s="261" t="n">
        <f aca="false">I14+I15+I16</f>
        <v>12364331.941521</v>
      </c>
    </row>
    <row r="18" customFormat="false" ht="15" hidden="false" customHeight="true" outlineLevel="0" collapsed="false">
      <c r="A18" s="19" t="s">
        <v>628</v>
      </c>
      <c r="B18" s="261" t="n">
        <f aca="false">B13-B17</f>
        <v>6954003</v>
      </c>
      <c r="C18" s="261" t="n">
        <f aca="false">C13-C17</f>
        <v>10417614</v>
      </c>
      <c r="D18" s="261" t="n">
        <f aca="false">D13-D17</f>
        <v>13326603</v>
      </c>
      <c r="E18" s="261" t="n">
        <f aca="false">E13-E17</f>
        <v>13539248.0942353</v>
      </c>
      <c r="F18" s="261" t="n">
        <f aca="false">F13-F17</f>
        <v>13894453.0204517</v>
      </c>
      <c r="G18" s="261" t="n">
        <f aca="false">G13-G17</f>
        <v>14204444.7215932</v>
      </c>
      <c r="H18" s="261" t="n">
        <f aca="false">H13-H17</f>
        <v>14570535.7742325</v>
      </c>
      <c r="I18" s="261" t="n">
        <f aca="false">I13-I17</f>
        <v>14828276.637355</v>
      </c>
    </row>
    <row r="19" customFormat="false" ht="15" hidden="false" customHeight="true" outlineLevel="0" collapsed="false">
      <c r="A19" s="1" t="s">
        <v>629</v>
      </c>
      <c r="B19" s="247" t="n">
        <f aca="false">B18/B6</f>
        <v>0.20620768485359</v>
      </c>
      <c r="C19" s="247" t="n">
        <f aca="false">C18/C6</f>
        <v>0.267111691541179</v>
      </c>
      <c r="D19" s="247" t="n">
        <f aca="false">D18/D6</f>
        <v>0.294947046055073</v>
      </c>
      <c r="E19" s="247" t="n">
        <f aca="false">E18/E6</f>
        <v>0.285947</v>
      </c>
      <c r="F19" s="247" t="n">
        <f aca="false">F18/F6</f>
        <v>0.279947</v>
      </c>
      <c r="G19" s="247" t="n">
        <f aca="false">G18/G6</f>
        <v>0.272947</v>
      </c>
      <c r="H19" s="247" t="n">
        <f aca="false">H18/H6</f>
        <v>0.266947</v>
      </c>
      <c r="I19" s="247" t="n">
        <f aca="false">I18/I6</f>
        <v>0.258947</v>
      </c>
    </row>
    <row r="20" customFormat="false" ht="15" hidden="false" customHeight="true" outlineLevel="0" collapsed="false">
      <c r="A20" s="22" t="s">
        <v>630</v>
      </c>
      <c r="B20" s="259" t="n">
        <f aca="false">'P&amp;L Input'!C11</f>
        <v>-699826</v>
      </c>
      <c r="C20" s="259" t="n">
        <f aca="false">'P&amp;L Input'!D11</f>
        <v>-718733</v>
      </c>
      <c r="D20" s="259" t="n">
        <f aca="false">'P&amp;L Input'!E11</f>
        <v>-776510</v>
      </c>
      <c r="E20" s="262" t="n">
        <f aca="false">-'Proj Schedules'!C32</f>
        <v>-664630.9936</v>
      </c>
      <c r="F20" s="262" t="n">
        <f aca="false">-'Proj Schedules'!D32</f>
        <v>-604512.1936</v>
      </c>
      <c r="G20" s="262" t="n">
        <f aca="false">-'Proj Schedules'!E32</f>
        <v>-484893.3936</v>
      </c>
      <c r="H20" s="262" t="n">
        <f aca="false">-'Proj Schedules'!F32</f>
        <v>-296849.5936</v>
      </c>
      <c r="I20" s="262" t="n">
        <f aca="false">-'Proj Schedules'!G32</f>
        <v>-137556.1936</v>
      </c>
    </row>
    <row r="21" customFormat="false" ht="15" hidden="false" customHeight="true" outlineLevel="0" collapsed="false">
      <c r="A21" s="22" t="s">
        <v>631</v>
      </c>
      <c r="B21" s="259" t="n">
        <f aca="false">'P&amp;L Input'!C12</f>
        <v>-48772</v>
      </c>
      <c r="C21" s="259" t="n">
        <f aca="false">'P&amp;L Input'!D12</f>
        <v>266776</v>
      </c>
      <c r="D21" s="259" t="n">
        <f aca="false">'P&amp;L Input'!E12</f>
        <v>172459</v>
      </c>
      <c r="E21" s="262" t="n">
        <f aca="false">Assumptions!D111</f>
        <v>-75000</v>
      </c>
      <c r="F21" s="262" t="n">
        <f aca="false">Assumptions!E111</f>
        <v>-50000</v>
      </c>
      <c r="G21" s="262" t="n">
        <f aca="false">Assumptions!F111</f>
        <v>-25000</v>
      </c>
      <c r="H21" s="262" t="n">
        <f aca="false">Assumptions!G111</f>
        <v>0</v>
      </c>
      <c r="I21" s="262" t="n">
        <f aca="false">Assumptions!H111</f>
        <v>25000</v>
      </c>
    </row>
    <row r="22" customFormat="false" ht="15" hidden="false" customHeight="true" outlineLevel="0" collapsed="false">
      <c r="A22" s="1" t="s">
        <v>632</v>
      </c>
      <c r="B22" s="246" t="n">
        <f aca="false">B18+B20+B21</f>
        <v>6205405</v>
      </c>
      <c r="C22" s="246" t="n">
        <f aca="false">C18+C20+C21</f>
        <v>9965657</v>
      </c>
      <c r="D22" s="246" t="n">
        <f aca="false">D18+D20+D21</f>
        <v>12722552</v>
      </c>
      <c r="E22" s="246" t="n">
        <f aca="false">E18+E20+E21</f>
        <v>12799617.1006353</v>
      </c>
      <c r="F22" s="246" t="n">
        <f aca="false">F18+F20+F21</f>
        <v>13239940.8268517</v>
      </c>
      <c r="G22" s="246" t="n">
        <f aca="false">G18+G20+G21</f>
        <v>13694551.3279932</v>
      </c>
      <c r="H22" s="246" t="n">
        <f aca="false">H18+H20+H21</f>
        <v>14273686.1806325</v>
      </c>
      <c r="I22" s="246" t="n">
        <f aca="false">I18+I20+I21</f>
        <v>14715720.443755</v>
      </c>
    </row>
    <row r="23" customFormat="false" ht="15" hidden="false" customHeight="true" outlineLevel="0" collapsed="false">
      <c r="A23" s="22" t="s">
        <v>633</v>
      </c>
      <c r="B23" s="259" t="n">
        <f aca="false">'P&amp;L Input'!C14</f>
        <v>-797415</v>
      </c>
      <c r="C23" s="259" t="n">
        <f aca="false">'P&amp;L Input'!D14</f>
        <v>-1254026</v>
      </c>
      <c r="D23" s="259" t="n">
        <f aca="false">'P&amp;L Input'!E14</f>
        <v>-1741351</v>
      </c>
      <c r="E23" s="262" t="n">
        <f aca="false">-E22*Assumptions!D119</f>
        <v>-1879892.56318741</v>
      </c>
      <c r="F23" s="262" t="n">
        <f aca="false">-F22*Assumptions!E119</f>
        <v>-2010763.05331479</v>
      </c>
      <c r="G23" s="262" t="n">
        <f aca="false">-G22*Assumptions!F119</f>
        <v>-2148277.96137363</v>
      </c>
      <c r="H23" s="262" t="n">
        <f aca="false">-H22*Assumptions!G119</f>
        <v>-2310495.85574517</v>
      </c>
      <c r="I23" s="262" t="n">
        <f aca="false">-I22*Assumptions!H119</f>
        <v>-2455626.98616983</v>
      </c>
    </row>
    <row r="24" customFormat="false" ht="15" hidden="false" customHeight="true" outlineLevel="0" collapsed="false">
      <c r="A24" s="19" t="s">
        <v>634</v>
      </c>
      <c r="B24" s="261" t="n">
        <f aca="false">B22+B23</f>
        <v>5407990</v>
      </c>
      <c r="C24" s="261" t="n">
        <f aca="false">C22+C23</f>
        <v>8711631</v>
      </c>
      <c r="D24" s="261" t="n">
        <f aca="false">D22+D23</f>
        <v>10981201</v>
      </c>
      <c r="E24" s="261" t="n">
        <f aca="false">E22+E23</f>
        <v>10919724.5374479</v>
      </c>
      <c r="F24" s="261" t="n">
        <f aca="false">F22+F23</f>
        <v>11229177.7735369</v>
      </c>
      <c r="G24" s="261" t="n">
        <f aca="false">G22+G23</f>
        <v>11546273.3666196</v>
      </c>
      <c r="H24" s="261" t="n">
        <f aca="false">H22+H23</f>
        <v>11963190.3248874</v>
      </c>
      <c r="I24" s="261" t="n">
        <f aca="false">I22+I23</f>
        <v>12260093.4575851</v>
      </c>
    </row>
    <row r="25" customFormat="false" ht="15" hidden="false" customHeight="true" outlineLevel="0" collapsed="false">
      <c r="A25" s="1" t="s">
        <v>635</v>
      </c>
      <c r="B25" s="247" t="n">
        <f aca="false">B24/B6</f>
        <v>0.160363620437231</v>
      </c>
      <c r="C25" s="247" t="n">
        <f aca="false">C24/C6</f>
        <v>0.223369621152461</v>
      </c>
      <c r="D25" s="247" t="n">
        <f aca="false">D24/D6</f>
        <v>0.24303813935832</v>
      </c>
      <c r="E25" s="247" t="n">
        <f aca="false">E24/E6</f>
        <v>0.230623033906815</v>
      </c>
      <c r="F25" s="247" t="n">
        <f aca="false">F24/F6</f>
        <v>0.226246734976987</v>
      </c>
      <c r="G25" s="247" t="n">
        <f aca="false">G24/G6</f>
        <v>0.221868629036083</v>
      </c>
      <c r="H25" s="247" t="n">
        <f aca="false">H24/H6</f>
        <v>0.219177785713643</v>
      </c>
      <c r="I25" s="247" t="n">
        <f aca="false">I24/I6</f>
        <v>0.214098677695535</v>
      </c>
    </row>
    <row r="26" customFormat="false" ht="15" hidden="false" customHeight="true" outlineLevel="0" collapsed="false">
      <c r="A26" s="19" t="s">
        <v>636</v>
      </c>
      <c r="B26" s="259" t="n">
        <f aca="false">'CFS Input'!B20+'CFS Input'!B23</f>
        <v>6925749</v>
      </c>
      <c r="C26" s="259" t="n">
        <f aca="false">'CFS Input'!C20+'CFS Input'!C23</f>
        <v>6921826</v>
      </c>
      <c r="D26" s="259" t="n">
        <f aca="false">'CFS Input'!D20+'CFS Input'!D23</f>
        <v>9461053</v>
      </c>
      <c r="E26" s="260"/>
      <c r="F26" s="260"/>
      <c r="G26" s="260"/>
      <c r="H26" s="260"/>
      <c r="I26" s="260"/>
    </row>
    <row r="29" customFormat="false" ht="15" hidden="false" customHeight="true" outlineLevel="0" collapsed="false">
      <c r="A29" s="263" t="s">
        <v>637</v>
      </c>
      <c r="B29" s="87"/>
      <c r="C29" s="87"/>
      <c r="D29" s="87"/>
      <c r="E29" s="87"/>
      <c r="F29" s="87"/>
      <c r="G29" s="87"/>
      <c r="H29" s="87"/>
      <c r="I29" s="87"/>
    </row>
    <row r="30" customFormat="false" ht="15" hidden="false" customHeight="true" outlineLevel="0" collapsed="false">
      <c r="A30" s="19" t="s">
        <v>566</v>
      </c>
      <c r="B30" s="41" t="s">
        <v>616</v>
      </c>
      <c r="C30" s="41" t="s">
        <v>617</v>
      </c>
      <c r="D30" s="41" t="s">
        <v>67</v>
      </c>
      <c r="E30" s="41" t="s">
        <v>56</v>
      </c>
      <c r="F30" s="41" t="s">
        <v>57</v>
      </c>
      <c r="G30" s="41" t="s">
        <v>58</v>
      </c>
      <c r="H30" s="41" t="s">
        <v>59</v>
      </c>
      <c r="I30" s="41" t="s">
        <v>60</v>
      </c>
    </row>
    <row r="31" customFormat="false" ht="15" hidden="false" customHeight="true" outlineLevel="0" collapsed="false">
      <c r="A31" s="19" t="s">
        <v>243</v>
      </c>
      <c r="B31" s="259" t="n">
        <f aca="false">'P&amp;L Input'!C3</f>
        <v>33723297</v>
      </c>
      <c r="C31" s="259" t="n">
        <f aca="false">'P&amp;L Input'!D3</f>
        <v>39000966</v>
      </c>
      <c r="D31" s="259" t="n">
        <f aca="false">'P&amp;L Input'!E3</f>
        <v>45183036</v>
      </c>
      <c r="E31" s="260" t="n">
        <f aca="false">SUM(E32:E35)</f>
        <v>48558259.46</v>
      </c>
      <c r="F31" s="260" t="n">
        <f aca="false">SUM(F32:F35)</f>
        <v>52212326.0918</v>
      </c>
      <c r="G31" s="260" t="n">
        <f aca="false">SUM(G32:G35)</f>
        <v>56170305.990062</v>
      </c>
      <c r="H31" s="260" t="n">
        <f aca="false">SUM(H32:H35)</f>
        <v>60459675.8783894</v>
      </c>
      <c r="I31" s="260" t="n">
        <f aca="false">SUM(I32:I35)</f>
        <v>65110561.8266056</v>
      </c>
    </row>
    <row r="32" customFormat="false" ht="15" hidden="false" customHeight="true" outlineLevel="0" collapsed="false">
      <c r="A32" s="22" t="s">
        <v>618</v>
      </c>
      <c r="B32" s="246"/>
      <c r="C32" s="246"/>
      <c r="D32" s="259" t="n">
        <f aca="false">'Revenue Modelling'!D4</f>
        <v>19957152</v>
      </c>
      <c r="E32" s="260" t="n">
        <f aca="false">D32*(1+Assumptions!D8)</f>
        <v>20955009.6</v>
      </c>
      <c r="F32" s="260" t="n">
        <f aca="false">E32*(1+Assumptions!D8)</f>
        <v>22002760.08</v>
      </c>
      <c r="G32" s="260" t="n">
        <f aca="false">F32*(1+Assumptions!D8)</f>
        <v>23102898.084</v>
      </c>
      <c r="H32" s="260" t="n">
        <f aca="false">G32*(1+Assumptions!D8)</f>
        <v>24258042.9882</v>
      </c>
      <c r="I32" s="260" t="n">
        <f aca="false">H32*(1+Assumptions!D8)</f>
        <v>25470945.13761</v>
      </c>
    </row>
    <row r="33" customFormat="false" ht="15" hidden="false" customHeight="true" outlineLevel="0" collapsed="false">
      <c r="A33" s="22" t="s">
        <v>619</v>
      </c>
      <c r="B33" s="246"/>
      <c r="C33" s="246"/>
      <c r="D33" s="259" t="n">
        <f aca="false">'Revenue Modelling'!D6</f>
        <v>14514646</v>
      </c>
      <c r="E33" s="260" t="n">
        <f aca="false">D33*(1+Assumptions!D16)</f>
        <v>15820964.14</v>
      </c>
      <c r="F33" s="260" t="n">
        <f aca="false">E33*(1+Assumptions!D16)</f>
        <v>17244850.9126</v>
      </c>
      <c r="G33" s="260" t="n">
        <f aca="false">F33*(1+Assumptions!D16)</f>
        <v>18796887.494734</v>
      </c>
      <c r="H33" s="260" t="n">
        <f aca="false">G33*(1+Assumptions!D16)</f>
        <v>20488607.3692601</v>
      </c>
      <c r="I33" s="260" t="n">
        <f aca="false">H33*(1+Assumptions!D16)</f>
        <v>22332582.0324935</v>
      </c>
    </row>
    <row r="34" customFormat="false" ht="15" hidden="false" customHeight="true" outlineLevel="0" collapsed="false">
      <c r="A34" s="22" t="s">
        <v>620</v>
      </c>
      <c r="B34" s="246"/>
      <c r="C34" s="246"/>
      <c r="D34" s="259" t="n">
        <f aca="false">'Revenue Modelling'!D8</f>
        <v>5357521</v>
      </c>
      <c r="E34" s="260" t="n">
        <f aca="false">D34*(1+Assumptions!D24)</f>
        <v>5786122.68</v>
      </c>
      <c r="F34" s="260" t="n">
        <f aca="false">E34*(1+Assumptions!D24)</f>
        <v>6249012.4944</v>
      </c>
      <c r="G34" s="260" t="n">
        <f aca="false">F34*(1+Assumptions!D24)</f>
        <v>6748933.493952</v>
      </c>
      <c r="H34" s="260" t="n">
        <f aca="false">G34*(1+Assumptions!D24)</f>
        <v>7288848.17346816</v>
      </c>
      <c r="I34" s="260" t="n">
        <f aca="false">H34*(1+Assumptions!D24)</f>
        <v>7871956.02734562</v>
      </c>
    </row>
    <row r="35" customFormat="false" ht="15" hidden="false" customHeight="true" outlineLevel="0" collapsed="false">
      <c r="A35" s="22" t="s">
        <v>621</v>
      </c>
      <c r="B35" s="246"/>
      <c r="C35" s="246"/>
      <c r="D35" s="259" t="n">
        <f aca="false">'Revenue Modelling'!D10</f>
        <v>5353717</v>
      </c>
      <c r="E35" s="260" t="n">
        <f aca="false">D35*(1+Assumptions!D32)</f>
        <v>5996163.04</v>
      </c>
      <c r="F35" s="260" t="n">
        <f aca="false">E35*(1+Assumptions!D32)</f>
        <v>6715702.6048</v>
      </c>
      <c r="G35" s="260" t="n">
        <f aca="false">F35*(1+Assumptions!D32)</f>
        <v>7521586.917376</v>
      </c>
      <c r="H35" s="260" t="n">
        <f aca="false">G35*(1+Assumptions!D32)</f>
        <v>8424177.34746112</v>
      </c>
      <c r="I35" s="260" t="n">
        <f aca="false">H35*(1+Assumptions!D32)</f>
        <v>9435078.62915646</v>
      </c>
    </row>
    <row r="37" customFormat="false" ht="15" hidden="false" customHeight="true" outlineLevel="0" collapsed="false">
      <c r="A37" s="19" t="s">
        <v>622</v>
      </c>
      <c r="B37" s="259" t="n">
        <f aca="false">'P&amp;L Input'!C4</f>
        <v>19715368</v>
      </c>
      <c r="C37" s="259" t="n">
        <f aca="false">'P&amp;L Input'!D4</f>
        <v>21038464</v>
      </c>
      <c r="D37" s="259" t="n">
        <f aca="false">'P&amp;L Input'!E4</f>
        <v>23275329</v>
      </c>
      <c r="E37" s="260" t="n">
        <f aca="false">E31*Assumptions!D48</f>
        <v>24868335.6502876</v>
      </c>
      <c r="F37" s="260" t="n">
        <f aca="false">F31*Assumptions!E48</f>
        <v>26583070.4324225</v>
      </c>
      <c r="G37" s="260" t="n">
        <f aca="false">G31*Assumptions!F48</f>
        <v>28429701.651974</v>
      </c>
      <c r="H37" s="260" t="n">
        <f aca="false">H31*Assumptions!G48</f>
        <v>30419318.5633976</v>
      </c>
      <c r="I37" s="260" t="n">
        <f aca="false">I31*Assumptions!H48</f>
        <v>32564005.7285875</v>
      </c>
    </row>
    <row r="38" customFormat="false" ht="15" hidden="false" customHeight="true" outlineLevel="0" collapsed="false">
      <c r="A38" s="1" t="s">
        <v>623</v>
      </c>
      <c r="B38" s="246" t="n">
        <f aca="false">B31-B37</f>
        <v>14007929</v>
      </c>
      <c r="C38" s="246" t="n">
        <f aca="false">C31-C37</f>
        <v>17962502</v>
      </c>
      <c r="D38" s="246" t="n">
        <f aca="false">D31-D37</f>
        <v>21907707</v>
      </c>
      <c r="E38" s="246" t="n">
        <f aca="false">E31-E37</f>
        <v>23689923.8097124</v>
      </c>
      <c r="F38" s="246" t="n">
        <f aca="false">F31-F37</f>
        <v>25629255.6593775</v>
      </c>
      <c r="G38" s="246" t="n">
        <f aca="false">G31-G37</f>
        <v>27740604.338088</v>
      </c>
      <c r="H38" s="246" t="n">
        <f aca="false">H31-H37</f>
        <v>30040357.3149918</v>
      </c>
      <c r="I38" s="246" t="n">
        <f aca="false">I31-I37</f>
        <v>32546556.098018</v>
      </c>
    </row>
    <row r="39" customFormat="false" ht="15" hidden="false" customHeight="true" outlineLevel="0" collapsed="false">
      <c r="A39" s="1" t="s">
        <v>624</v>
      </c>
      <c r="B39" s="259" t="n">
        <f aca="false">'P&amp;L Input'!C6</f>
        <v>2657883</v>
      </c>
      <c r="C39" s="259" t="n">
        <f aca="false">'P&amp;L Input'!D6</f>
        <v>2917554</v>
      </c>
      <c r="D39" s="259" t="n">
        <f aca="false">'P&amp;L Input'!E6</f>
        <v>3301306</v>
      </c>
      <c r="E39" s="260" t="n">
        <f aca="false">E31*Assumptions!D56</f>
        <v>3499350.9679849</v>
      </c>
      <c r="F39" s="260" t="n">
        <f aca="false">F31*Assumptions!E56</f>
        <v>3710468.95371377</v>
      </c>
      <c r="G39" s="260" t="n">
        <f aca="false">G31*Assumptions!F56</f>
        <v>3935572.4891937</v>
      </c>
      <c r="H39" s="260" t="n">
        <f aca="false">H31*Assumptions!G56</f>
        <v>4175647.51454096</v>
      </c>
      <c r="I39" s="260" t="n">
        <f aca="false">I31*Assumptions!H56</f>
        <v>4431750.39072791</v>
      </c>
    </row>
    <row r="40" customFormat="false" ht="15" hidden="false" customHeight="true" outlineLevel="0" collapsed="false">
      <c r="A40" s="1" t="s">
        <v>625</v>
      </c>
      <c r="B40" s="259" t="n">
        <f aca="false">'P&amp;L Input'!C7</f>
        <v>2675758</v>
      </c>
      <c r="C40" s="259" t="n">
        <f aca="false">'P&amp;L Input'!D7</f>
        <v>2925295</v>
      </c>
      <c r="D40" s="259" t="n">
        <f aca="false">'P&amp;L Input'!E7</f>
        <v>3391390</v>
      </c>
      <c r="E40" s="260" t="n">
        <f aca="false">E31*Assumptions!D64</f>
        <v>3644734.39680814</v>
      </c>
      <c r="F40" s="260" t="n">
        <f aca="false">F31*Assumptions!E64</f>
        <v>3866792.65803262</v>
      </c>
      <c r="G40" s="260" t="n">
        <f aca="false">G31*Assumptions!F64</f>
        <v>4103746.38532794</v>
      </c>
      <c r="H40" s="260" t="n">
        <f aca="false">H31*Assumptions!G64</f>
        <v>4356663.78412086</v>
      </c>
      <c r="I40" s="260" t="n">
        <f aca="false">I31*Assumptions!H64</f>
        <v>4626691.41283676</v>
      </c>
    </row>
    <row r="41" customFormat="false" ht="15" hidden="false" customHeight="true" outlineLevel="0" collapsed="false">
      <c r="A41" s="1" t="s">
        <v>626</v>
      </c>
      <c r="B41" s="259" t="n">
        <f aca="false">'P&amp;L Input'!C8</f>
        <v>1720285</v>
      </c>
      <c r="C41" s="259" t="n">
        <f aca="false">'P&amp;L Input'!D8</f>
        <v>1702039</v>
      </c>
      <c r="D41" s="259" t="n">
        <f aca="false">'P&amp;L Input'!E8</f>
        <v>1888408</v>
      </c>
      <c r="E41" s="260" t="n">
        <f aca="false">E31*Assumptions!D72</f>
        <v>1980934.1946707</v>
      </c>
      <c r="F41" s="260" t="n">
        <f aca="false">F31*Assumptions!E72</f>
        <v>2077789.51682318</v>
      </c>
      <c r="G41" s="260" t="n">
        <f aca="false">G31*Assumptions!F72</f>
        <v>2179127.02088446</v>
      </c>
      <c r="H41" s="260" t="n">
        <f aca="false">H31*Assumptions!G72</f>
        <v>2285073.44982373</v>
      </c>
      <c r="I41" s="260" t="n">
        <f aca="false">I31*Assumptions!H72</f>
        <v>2395743.12240995</v>
      </c>
    </row>
    <row r="42" customFormat="false" ht="15" hidden="false" customHeight="true" outlineLevel="0" collapsed="false">
      <c r="A42" s="19" t="s">
        <v>627</v>
      </c>
      <c r="B42" s="261" t="n">
        <f aca="false">B39+B40+B41</f>
        <v>7053926</v>
      </c>
      <c r="C42" s="261" t="n">
        <f aca="false">C39+C40+C41</f>
        <v>7544888</v>
      </c>
      <c r="D42" s="261" t="n">
        <f aca="false">D39+D40+D41</f>
        <v>8581104</v>
      </c>
      <c r="E42" s="261" t="n">
        <f aca="false">E39+E40+E41</f>
        <v>9125019.55946374</v>
      </c>
      <c r="F42" s="261" t="n">
        <f aca="false">F39+F40+F41</f>
        <v>9655051.12856957</v>
      </c>
      <c r="G42" s="261" t="n">
        <f aca="false">G39+G40+G41</f>
        <v>10218445.8954061</v>
      </c>
      <c r="H42" s="261" t="n">
        <f aca="false">H39+H40+H41</f>
        <v>10817384.7484855</v>
      </c>
      <c r="I42" s="261" t="n">
        <f aca="false">I39+I40+I41</f>
        <v>11454184.9259746</v>
      </c>
    </row>
    <row r="43" customFormat="false" ht="15" hidden="false" customHeight="true" outlineLevel="0" collapsed="false">
      <c r="A43" s="19" t="s">
        <v>628</v>
      </c>
      <c r="B43" s="261" t="n">
        <f aca="false">B38-B42</f>
        <v>6954003</v>
      </c>
      <c r="C43" s="261" t="n">
        <f aca="false">C38-C42</f>
        <v>10417614</v>
      </c>
      <c r="D43" s="261" t="n">
        <f aca="false">D38-D42</f>
        <v>13326603</v>
      </c>
      <c r="E43" s="261" t="n">
        <f aca="false">E38-E42</f>
        <v>14564904.2502486</v>
      </c>
      <c r="F43" s="261" t="n">
        <f aca="false">F38-F42</f>
        <v>15974204.5308079</v>
      </c>
      <c r="G43" s="261" t="n">
        <f aca="false">G38-G42</f>
        <v>17522158.4426819</v>
      </c>
      <c r="H43" s="261" t="n">
        <f aca="false">H38-H42</f>
        <v>19222972.5665063</v>
      </c>
      <c r="I43" s="261" t="n">
        <f aca="false">I38-I42</f>
        <v>21092371.1720434</v>
      </c>
    </row>
    <row r="44" customFormat="false" ht="15" hidden="false" customHeight="true" outlineLevel="0" collapsed="false">
      <c r="A44" s="1" t="s">
        <v>629</v>
      </c>
      <c r="B44" s="247" t="n">
        <f aca="false">B43/B31</f>
        <v>0.20620768485359</v>
      </c>
      <c r="C44" s="247" t="n">
        <f aca="false">C43/C31</f>
        <v>0.267111691541179</v>
      </c>
      <c r="D44" s="247" t="n">
        <f aca="false">D43/D31</f>
        <v>0.294947046055073</v>
      </c>
      <c r="E44" s="247" t="n">
        <f aca="false">E43/E31</f>
        <v>0.299947</v>
      </c>
      <c r="F44" s="247" t="n">
        <f aca="false">F43/F31</f>
        <v>0.305947</v>
      </c>
      <c r="G44" s="247" t="n">
        <f aca="false">G43/G31</f>
        <v>0.311947</v>
      </c>
      <c r="H44" s="247" t="n">
        <f aca="false">H43/H31</f>
        <v>0.317947</v>
      </c>
      <c r="I44" s="247" t="n">
        <f aca="false">I43/I31</f>
        <v>0.323947</v>
      </c>
    </row>
    <row r="45" customFormat="false" ht="15" hidden="false" customHeight="true" outlineLevel="0" collapsed="false">
      <c r="A45" s="22" t="s">
        <v>630</v>
      </c>
      <c r="B45" s="259" t="n">
        <f aca="false">'P&amp;L Input'!C11</f>
        <v>-699826</v>
      </c>
      <c r="C45" s="259" t="n">
        <f aca="false">'P&amp;L Input'!D11</f>
        <v>-718733</v>
      </c>
      <c r="D45" s="259" t="n">
        <f aca="false">'P&amp;L Input'!E11</f>
        <v>-776510</v>
      </c>
      <c r="E45" s="262" t="n">
        <f aca="false">-'Proj Schedules'!C32</f>
        <v>-664630.9936</v>
      </c>
      <c r="F45" s="262" t="n">
        <f aca="false">-'Proj Schedules'!D32</f>
        <v>-604512.1936</v>
      </c>
      <c r="G45" s="262" t="n">
        <f aca="false">-'Proj Schedules'!E32</f>
        <v>-484893.3936</v>
      </c>
      <c r="H45" s="262" t="n">
        <f aca="false">-'Proj Schedules'!F32</f>
        <v>-296849.5936</v>
      </c>
      <c r="I45" s="262" t="n">
        <f aca="false">-'Proj Schedules'!G32</f>
        <v>-137556.1936</v>
      </c>
    </row>
    <row r="46" customFormat="false" ht="15" hidden="false" customHeight="true" outlineLevel="0" collapsed="false">
      <c r="A46" s="22" t="s">
        <v>631</v>
      </c>
      <c r="B46" s="259" t="n">
        <f aca="false">'P&amp;L Input'!C12</f>
        <v>-48772</v>
      </c>
      <c r="C46" s="259" t="n">
        <f aca="false">'P&amp;L Input'!D12</f>
        <v>266776</v>
      </c>
      <c r="D46" s="259" t="n">
        <f aca="false">'P&amp;L Input'!E12</f>
        <v>172459</v>
      </c>
      <c r="E46" s="262" t="n">
        <f aca="false">Assumptions!D112</f>
        <v>50000</v>
      </c>
      <c r="F46" s="262" t="n">
        <f aca="false">Assumptions!E112</f>
        <v>75000</v>
      </c>
      <c r="G46" s="262" t="n">
        <f aca="false">Assumptions!F112</f>
        <v>100000</v>
      </c>
      <c r="H46" s="262" t="n">
        <f aca="false">Assumptions!G112</f>
        <v>100000</v>
      </c>
      <c r="I46" s="262" t="n">
        <f aca="false">Assumptions!H112</f>
        <v>125000</v>
      </c>
    </row>
    <row r="47" customFormat="false" ht="15" hidden="false" customHeight="true" outlineLevel="0" collapsed="false">
      <c r="A47" s="1" t="s">
        <v>632</v>
      </c>
      <c r="B47" s="246" t="n">
        <f aca="false">B43+B45+B46</f>
        <v>6205405</v>
      </c>
      <c r="C47" s="246" t="n">
        <f aca="false">C43+C45+C46</f>
        <v>9965657</v>
      </c>
      <c r="D47" s="246" t="n">
        <f aca="false">D43+D45+D46</f>
        <v>12722552</v>
      </c>
      <c r="E47" s="246" t="n">
        <f aca="false">E43+E45+E46</f>
        <v>13950273.2566486</v>
      </c>
      <c r="F47" s="246" t="n">
        <f aca="false">F43+F45+F46</f>
        <v>15444692.3372079</v>
      </c>
      <c r="G47" s="246" t="n">
        <f aca="false">G43+G45+G46</f>
        <v>17137265.0490819</v>
      </c>
      <c r="H47" s="246" t="n">
        <f aca="false">H43+H45+H46</f>
        <v>19026122.9729063</v>
      </c>
      <c r="I47" s="246" t="n">
        <f aca="false">I43+I45+I46</f>
        <v>21079814.9784434</v>
      </c>
    </row>
    <row r="48" customFormat="false" ht="15" hidden="false" customHeight="true" outlineLevel="0" collapsed="false">
      <c r="A48" s="22" t="s">
        <v>633</v>
      </c>
      <c r="B48" s="259" t="n">
        <f aca="false">'P&amp;L Input'!C14</f>
        <v>-797415</v>
      </c>
      <c r="C48" s="259" t="n">
        <f aca="false">'P&amp;L Input'!D14</f>
        <v>-1254026</v>
      </c>
      <c r="D48" s="259" t="n">
        <f aca="false">'P&amp;L Input'!E14</f>
        <v>-1741351</v>
      </c>
      <c r="E48" s="262" t="n">
        <f aca="false">-E47*Assumptions!D120</f>
        <v>-1909387.85091075</v>
      </c>
      <c r="F48" s="262" t="n">
        <f aca="false">-F47*Assumptions!E120</f>
        <v>-2113930.48488599</v>
      </c>
      <c r="G48" s="262" t="n">
        <f aca="false">-G47*Assumptions!F120</f>
        <v>-2345594.60453289</v>
      </c>
      <c r="H48" s="262" t="n">
        <f aca="false">-H47*Assumptions!G120</f>
        <v>-2604124.47742465</v>
      </c>
      <c r="I48" s="262" t="n">
        <f aca="false">-I47*Assumptions!H120</f>
        <v>-2885215.35591453</v>
      </c>
    </row>
    <row r="49" customFormat="false" ht="15" hidden="false" customHeight="true" outlineLevel="0" collapsed="false">
      <c r="A49" s="19" t="s">
        <v>634</v>
      </c>
      <c r="B49" s="261" t="n">
        <f aca="false">B47+B48</f>
        <v>5407990</v>
      </c>
      <c r="C49" s="261" t="n">
        <f aca="false">C47+C48</f>
        <v>8711631</v>
      </c>
      <c r="D49" s="261" t="n">
        <f aca="false">D47+D48</f>
        <v>10981201</v>
      </c>
      <c r="E49" s="261" t="n">
        <f aca="false">E47+E48</f>
        <v>12040885.4057379</v>
      </c>
      <c r="F49" s="261" t="n">
        <f aca="false">F47+F48</f>
        <v>13330761.8523219</v>
      </c>
      <c r="G49" s="261" t="n">
        <f aca="false">G47+G48</f>
        <v>14791670.444549</v>
      </c>
      <c r="H49" s="261" t="n">
        <f aca="false">H47+H48</f>
        <v>16421998.4954816</v>
      </c>
      <c r="I49" s="261" t="n">
        <f aca="false">I47+I48</f>
        <v>18194599.6225289</v>
      </c>
    </row>
    <row r="50" customFormat="false" ht="15" hidden="false" customHeight="true" outlineLevel="0" collapsed="false">
      <c r="A50" s="1" t="s">
        <v>635</v>
      </c>
      <c r="B50" s="247" t="n">
        <f aca="false">B49/B31</f>
        <v>0.160363620437231</v>
      </c>
      <c r="C50" s="247" t="n">
        <f aca="false">C49/C31</f>
        <v>0.223369621152461</v>
      </c>
      <c r="D50" s="247" t="n">
        <f aca="false">D49/D31</f>
        <v>0.24303813935832</v>
      </c>
      <c r="E50" s="247" t="n">
        <f aca="false">E49/E31</f>
        <v>0.247967813089688</v>
      </c>
      <c r="F50" s="247" t="n">
        <f aca="false">F49/F31</f>
        <v>0.255318290720925</v>
      </c>
      <c r="G50" s="247" t="n">
        <f aca="false">G49/G31</f>
        <v>0.263336120105275</v>
      </c>
      <c r="H50" s="247" t="n">
        <f aca="false">H49/H31</f>
        <v>0.271619029657277</v>
      </c>
      <c r="I50" s="247" t="n">
        <f aca="false">I49/I31</f>
        <v>0.279441600749545</v>
      </c>
    </row>
    <row r="51" customFormat="false" ht="15" hidden="false" customHeight="true" outlineLevel="0" collapsed="false">
      <c r="A51" s="19" t="s">
        <v>636</v>
      </c>
      <c r="B51" s="259" t="n">
        <f aca="false">'CFS Input'!B20+'CFS Input'!B23</f>
        <v>6925749</v>
      </c>
      <c r="C51" s="259" t="n">
        <f aca="false">'CFS Input'!C20+'CFS Input'!C23</f>
        <v>6921826</v>
      </c>
      <c r="D51" s="259" t="n">
        <f aca="false">'CFS Input'!D20+'CFS Input'!D23</f>
        <v>9461053</v>
      </c>
      <c r="E51" s="260"/>
      <c r="F51" s="260"/>
      <c r="G51" s="260"/>
      <c r="H51" s="260"/>
      <c r="I51" s="260"/>
    </row>
    <row r="54" customFormat="false" ht="15" hidden="false" customHeight="true" outlineLevel="0" collapsed="false">
      <c r="A54" s="264" t="s">
        <v>638</v>
      </c>
      <c r="B54" s="265"/>
      <c r="C54" s="265"/>
      <c r="D54" s="265"/>
      <c r="E54" s="265"/>
      <c r="F54" s="265"/>
      <c r="G54" s="265"/>
      <c r="H54" s="265"/>
      <c r="I54" s="265"/>
    </row>
    <row r="55" customFormat="false" ht="15" hidden="false" customHeight="true" outlineLevel="0" collapsed="false">
      <c r="A55" s="19" t="s">
        <v>566</v>
      </c>
      <c r="B55" s="41" t="s">
        <v>616</v>
      </c>
      <c r="C55" s="41" t="s">
        <v>617</v>
      </c>
      <c r="D55" s="41" t="s">
        <v>67</v>
      </c>
      <c r="E55" s="41" t="s">
        <v>56</v>
      </c>
      <c r="F55" s="41" t="s">
        <v>57</v>
      </c>
      <c r="G55" s="41" t="s">
        <v>58</v>
      </c>
      <c r="H55" s="41" t="s">
        <v>59</v>
      </c>
      <c r="I55" s="41" t="s">
        <v>60</v>
      </c>
    </row>
    <row r="56" customFormat="false" ht="15" hidden="false" customHeight="true" outlineLevel="0" collapsed="false">
      <c r="A56" s="19" t="s">
        <v>243</v>
      </c>
      <c r="B56" s="259" t="n">
        <f aca="false">'P&amp;L Input'!C3</f>
        <v>33723297</v>
      </c>
      <c r="C56" s="259" t="n">
        <f aca="false">'P&amp;L Input'!D3</f>
        <v>39000966</v>
      </c>
      <c r="D56" s="259" t="n">
        <f aca="false">'P&amp;L Input'!E3</f>
        <v>45183036</v>
      </c>
      <c r="E56" s="260" t="n">
        <f aca="false">SUM(E57:E60)</f>
        <v>49767716.19</v>
      </c>
      <c r="F56" s="260" t="n">
        <f aca="false">SUM(F57:F60)</f>
        <v>54861078.4865</v>
      </c>
      <c r="G56" s="260" t="n">
        <f aca="false">SUM(G57:G60)</f>
        <v>60524109.186207</v>
      </c>
      <c r="H56" s="260" t="n">
        <f aca="false">SUM(H57:H60)</f>
        <v>66825576.5206648</v>
      </c>
      <c r="I56" s="260" t="n">
        <f aca="false">SUM(I57:I60)</f>
        <v>73843073.030406</v>
      </c>
    </row>
    <row r="57" customFormat="false" ht="15" hidden="false" customHeight="true" outlineLevel="0" collapsed="false">
      <c r="A57" s="22" t="s">
        <v>618</v>
      </c>
      <c r="B57" s="246"/>
      <c r="C57" s="246"/>
      <c r="D57" s="259" t="n">
        <f aca="false">'Revenue Modelling'!D4</f>
        <v>19957152</v>
      </c>
      <c r="E57" s="260" t="n">
        <f aca="false">D57*(1+Assumptions!D9)</f>
        <v>21354152.64</v>
      </c>
      <c r="F57" s="260" t="n">
        <f aca="false">E57*(1+Assumptions!D9)</f>
        <v>22848943.3248</v>
      </c>
      <c r="G57" s="260" t="n">
        <f aca="false">F57*(1+Assumptions!D9)</f>
        <v>24448369.357536</v>
      </c>
      <c r="H57" s="260" t="n">
        <f aca="false">G57*(1+Assumptions!D9)</f>
        <v>26159755.2125635</v>
      </c>
      <c r="I57" s="260" t="n">
        <f aca="false">H57*(1+Assumptions!D9)</f>
        <v>27990938.077443</v>
      </c>
    </row>
    <row r="58" customFormat="false" ht="15" hidden="false" customHeight="true" outlineLevel="0" collapsed="false">
      <c r="A58" s="22" t="s">
        <v>619</v>
      </c>
      <c r="B58" s="246"/>
      <c r="C58" s="246"/>
      <c r="D58" s="259" t="n">
        <f aca="false">'Revenue Modelling'!D6</f>
        <v>14514646</v>
      </c>
      <c r="E58" s="260" t="n">
        <f aca="false">D58*(1+Assumptions!D17)</f>
        <v>16256403.52</v>
      </c>
      <c r="F58" s="260" t="n">
        <f aca="false">E58*(1+Assumptions!D17)</f>
        <v>18207171.9424</v>
      </c>
      <c r="G58" s="260" t="n">
        <f aca="false">F58*(1+Assumptions!D17)</f>
        <v>20392032.575488</v>
      </c>
      <c r="H58" s="260" t="n">
        <f aca="false">G58*(1+Assumptions!D17)</f>
        <v>22839076.4845466</v>
      </c>
      <c r="I58" s="260" t="n">
        <f aca="false">H58*(1+Assumptions!D17)</f>
        <v>25579765.6626922</v>
      </c>
    </row>
    <row r="59" customFormat="false" ht="15" hidden="false" customHeight="true" outlineLevel="0" collapsed="false">
      <c r="A59" s="22" t="s">
        <v>620</v>
      </c>
      <c r="B59" s="246"/>
      <c r="C59" s="246"/>
      <c r="D59" s="259" t="n">
        <f aca="false">'Revenue Modelling'!D8</f>
        <v>5357521</v>
      </c>
      <c r="E59" s="260" t="n">
        <f aca="false">D59*(1+Assumptions!D25)</f>
        <v>5946848.31</v>
      </c>
      <c r="F59" s="260" t="n">
        <f aca="false">E59*(1+Assumptions!D25)</f>
        <v>6601001.6241</v>
      </c>
      <c r="G59" s="260" t="n">
        <f aca="false">F59*(1+Assumptions!D25)</f>
        <v>7327111.802751</v>
      </c>
      <c r="H59" s="260" t="n">
        <f aca="false">G59*(1+Assumptions!D25)</f>
        <v>8133094.10105361</v>
      </c>
      <c r="I59" s="260" t="n">
        <f aca="false">H59*(1+Assumptions!D25)</f>
        <v>9027734.45216951</v>
      </c>
    </row>
    <row r="60" customFormat="false" ht="15" hidden="false" customHeight="true" outlineLevel="0" collapsed="false">
      <c r="A60" s="22" t="s">
        <v>621</v>
      </c>
      <c r="B60" s="246"/>
      <c r="C60" s="246"/>
      <c r="D60" s="259" t="n">
        <f aca="false">'Revenue Modelling'!D10</f>
        <v>5353717</v>
      </c>
      <c r="E60" s="260" t="n">
        <f aca="false">D60*(1+Assumptions!D33)</f>
        <v>6210311.72</v>
      </c>
      <c r="F60" s="260" t="n">
        <f aca="false">E60*(1+Assumptions!D33)</f>
        <v>7203961.5952</v>
      </c>
      <c r="G60" s="260" t="n">
        <f aca="false">F60*(1+Assumptions!D33)</f>
        <v>8356595.450432</v>
      </c>
      <c r="H60" s="260" t="n">
        <f aca="false">G60*(1+Assumptions!D33)</f>
        <v>9693650.72250112</v>
      </c>
      <c r="I60" s="260" t="n">
        <f aca="false">H60*(1+Assumptions!D33)</f>
        <v>11244634.8381013</v>
      </c>
    </row>
    <row r="62" customFormat="false" ht="15" hidden="false" customHeight="true" outlineLevel="0" collapsed="false">
      <c r="A62" s="19" t="s">
        <v>622</v>
      </c>
      <c r="B62" s="259" t="n">
        <f aca="false">'P&amp;L Input'!C4</f>
        <v>19715368</v>
      </c>
      <c r="C62" s="259" t="n">
        <f aca="false">'P&amp;L Input'!D4</f>
        <v>21038464</v>
      </c>
      <c r="D62" s="259" t="n">
        <f aca="false">'P&amp;L Input'!E4</f>
        <v>23275329</v>
      </c>
      <c r="E62" s="260" t="n">
        <f aca="false">E56*Assumptions!D49</f>
        <v>25288668.6984895</v>
      </c>
      <c r="F62" s="260" t="n">
        <f aca="false">F56*Assumptions!E49</f>
        <v>27492751.7062537</v>
      </c>
      <c r="G62" s="260" t="n">
        <f aca="false">G56*Assumptions!F49</f>
        <v>29907020.1686172</v>
      </c>
      <c r="H62" s="260" t="n">
        <f aca="false">H56*Assumptions!G49</f>
        <v>32619835.9693382</v>
      </c>
      <c r="I62" s="260" t="n">
        <f aca="false">I56*Assumptions!H49</f>
        <v>35676099.2454722</v>
      </c>
    </row>
    <row r="63" customFormat="false" ht="15" hidden="false" customHeight="true" outlineLevel="0" collapsed="false">
      <c r="A63" s="1" t="s">
        <v>623</v>
      </c>
      <c r="B63" s="246" t="n">
        <f aca="false">B56-B62</f>
        <v>14007929</v>
      </c>
      <c r="C63" s="246" t="n">
        <f aca="false">C56-C62</f>
        <v>17962502</v>
      </c>
      <c r="D63" s="246" t="n">
        <f aca="false">D56-D62</f>
        <v>21907707</v>
      </c>
      <c r="E63" s="246" t="n">
        <f aca="false">E56-E62</f>
        <v>24479047.4915105</v>
      </c>
      <c r="F63" s="246" t="n">
        <f aca="false">F56-F62</f>
        <v>27368326.7802463</v>
      </c>
      <c r="G63" s="246" t="n">
        <f aca="false">G56-G62</f>
        <v>30617089.0175898</v>
      </c>
      <c r="H63" s="246" t="n">
        <f aca="false">H56-H62</f>
        <v>34205740.5513266</v>
      </c>
      <c r="I63" s="246" t="n">
        <f aca="false">I56-I62</f>
        <v>38166973.7849338</v>
      </c>
    </row>
    <row r="64" customFormat="false" ht="15" hidden="false" customHeight="true" outlineLevel="0" collapsed="false">
      <c r="A64" s="1" t="s">
        <v>624</v>
      </c>
      <c r="B64" s="259" t="n">
        <f aca="false">'P&amp;L Input'!C6</f>
        <v>2657883</v>
      </c>
      <c r="C64" s="259" t="n">
        <f aca="false">'P&amp;L Input'!D6</f>
        <v>2917554</v>
      </c>
      <c r="D64" s="259" t="n">
        <f aca="false">'P&amp;L Input'!E6</f>
        <v>3301306</v>
      </c>
      <c r="E64" s="260" t="n">
        <f aca="false">E56*Assumptions!D57</f>
        <v>3486975.03485235</v>
      </c>
      <c r="F64" s="260" t="n">
        <f aca="false">F56*Assumptions!E57</f>
        <v>3679258.22869712</v>
      </c>
      <c r="G64" s="260" t="n">
        <f aca="false">G56*Assumptions!F57</f>
        <v>3877477.05501435</v>
      </c>
      <c r="H64" s="260" t="n">
        <f aca="false">H56*Assumptions!G57</f>
        <v>4147529.40675506</v>
      </c>
      <c r="I64" s="260" t="n">
        <f aca="false">I56*Assumptions!H57</f>
        <v>4435384.18157133</v>
      </c>
    </row>
    <row r="65" customFormat="false" ht="15" hidden="false" customHeight="true" outlineLevel="0" collapsed="false">
      <c r="A65" s="1" t="s">
        <v>625</v>
      </c>
      <c r="B65" s="259" t="n">
        <f aca="false">'P&amp;L Input'!C7</f>
        <v>2675758</v>
      </c>
      <c r="C65" s="259" t="n">
        <f aca="false">'P&amp;L Input'!D7</f>
        <v>2925295</v>
      </c>
      <c r="D65" s="259" t="n">
        <f aca="false">'P&amp;L Input'!E7</f>
        <v>3391390</v>
      </c>
      <c r="E65" s="260" t="n">
        <f aca="false">E56*Assumptions!D65</f>
        <v>3635979.57712521</v>
      </c>
      <c r="F65" s="260" t="n">
        <f aca="false">F56*Assumptions!E65</f>
        <v>3898373.3761722</v>
      </c>
      <c r="G65" s="260" t="n">
        <f aca="false">G56*Assumptions!F65</f>
        <v>4240258.56547648</v>
      </c>
      <c r="H65" s="260" t="n">
        <f aca="false">H56*Assumptions!G65</f>
        <v>4548081.91241993</v>
      </c>
      <c r="I65" s="260" t="n">
        <f aca="false">I56*Assumptions!H65</f>
        <v>4951842.63434599</v>
      </c>
    </row>
    <row r="66" customFormat="false" ht="15" hidden="false" customHeight="true" outlineLevel="0" collapsed="false">
      <c r="A66" s="1" t="s">
        <v>626</v>
      </c>
      <c r="B66" s="259" t="n">
        <f aca="false">'P&amp;L Input'!C8</f>
        <v>1720285</v>
      </c>
      <c r="C66" s="259" t="n">
        <f aca="false">'P&amp;L Input'!D8</f>
        <v>1702039</v>
      </c>
      <c r="D66" s="259" t="n">
        <f aca="false">'P&amp;L Input'!E8</f>
        <v>1888408</v>
      </c>
      <c r="E66" s="260" t="n">
        <f aca="false">E56*Assumptions!D73</f>
        <v>1930738.54959105</v>
      </c>
      <c r="F66" s="260" t="n">
        <f aca="false">F56*Assumptions!E73</f>
        <v>2018613.38291077</v>
      </c>
      <c r="G66" s="260" t="n">
        <f aca="false">G56*Assumptions!F73</f>
        <v>2105936.37913407</v>
      </c>
      <c r="H66" s="260" t="n">
        <f aca="false">H56*Assumptions!G73</f>
        <v>2258370.35851587</v>
      </c>
      <c r="I66" s="260" t="n">
        <f aca="false">I56*Assumptions!H73</f>
        <v>2347840.50700176</v>
      </c>
    </row>
    <row r="67" customFormat="false" ht="15" hidden="false" customHeight="true" outlineLevel="0" collapsed="false">
      <c r="A67" s="19" t="s">
        <v>627</v>
      </c>
      <c r="B67" s="261" t="n">
        <f aca="false">B64+B65+B66</f>
        <v>7053926</v>
      </c>
      <c r="C67" s="261" t="n">
        <f aca="false">C64+C65+C66</f>
        <v>7544888</v>
      </c>
      <c r="D67" s="261" t="n">
        <f aca="false">D64+D65+D66</f>
        <v>8581104</v>
      </c>
      <c r="E67" s="261" t="n">
        <f aca="false">E64+E65+E66</f>
        <v>9053693.16156861</v>
      </c>
      <c r="F67" s="261" t="n">
        <f aca="false">F64+F65+F66</f>
        <v>9596244.98778009</v>
      </c>
      <c r="G67" s="261" t="n">
        <f aca="false">G64+G65+G66</f>
        <v>10223671.9996249</v>
      </c>
      <c r="H67" s="261" t="n">
        <f aca="false">H64+H65+H66</f>
        <v>10953981.6776909</v>
      </c>
      <c r="I67" s="261" t="n">
        <f aca="false">I64+I65+I66</f>
        <v>11735067.3229191</v>
      </c>
    </row>
    <row r="68" customFormat="false" ht="15" hidden="false" customHeight="true" outlineLevel="0" collapsed="false">
      <c r="A68" s="19" t="s">
        <v>628</v>
      </c>
      <c r="B68" s="261" t="n">
        <f aca="false">B63-B67</f>
        <v>6954003</v>
      </c>
      <c r="C68" s="261" t="n">
        <f aca="false">C63-C67</f>
        <v>10417614</v>
      </c>
      <c r="D68" s="261" t="n">
        <f aca="false">D63-D67</f>
        <v>13326603</v>
      </c>
      <c r="E68" s="261" t="n">
        <f aca="false">E63-E67</f>
        <v>15425354.3299419</v>
      </c>
      <c r="F68" s="261" t="n">
        <f aca="false">F63-F67</f>
        <v>17772081.7924662</v>
      </c>
      <c r="G68" s="261" t="n">
        <f aca="false">G63-G67</f>
        <v>20393417.0179649</v>
      </c>
      <c r="H68" s="261" t="n">
        <f aca="false">H63-H67</f>
        <v>23251758.8736358</v>
      </c>
      <c r="I68" s="261" t="n">
        <f aca="false">I63-I67</f>
        <v>26431906.4620147</v>
      </c>
    </row>
    <row r="69" customFormat="false" ht="15" hidden="false" customHeight="true" outlineLevel="0" collapsed="false">
      <c r="A69" s="1" t="s">
        <v>629</v>
      </c>
      <c r="B69" s="247" t="n">
        <f aca="false">B68/B56</f>
        <v>0.20620768485359</v>
      </c>
      <c r="C69" s="247" t="n">
        <f aca="false">C68/C56</f>
        <v>0.267111691541179</v>
      </c>
      <c r="D69" s="247" t="n">
        <f aca="false">D68/D56</f>
        <v>0.294947046055073</v>
      </c>
      <c r="E69" s="247" t="n">
        <f aca="false">E68/E56</f>
        <v>0.309947</v>
      </c>
      <c r="F69" s="247" t="n">
        <f aca="false">F68/F56</f>
        <v>0.323947</v>
      </c>
      <c r="G69" s="247" t="n">
        <f aca="false">G68/G56</f>
        <v>0.336947</v>
      </c>
      <c r="H69" s="247" t="n">
        <f aca="false">H68/H56</f>
        <v>0.347947</v>
      </c>
      <c r="I69" s="247" t="n">
        <f aca="false">I68/I56</f>
        <v>0.357947</v>
      </c>
    </row>
    <row r="70" customFormat="false" ht="15" hidden="false" customHeight="true" outlineLevel="0" collapsed="false">
      <c r="A70" s="22" t="s">
        <v>630</v>
      </c>
      <c r="B70" s="259" t="n">
        <f aca="false">'P&amp;L Input'!C11</f>
        <v>-699826</v>
      </c>
      <c r="C70" s="259" t="n">
        <f aca="false">'P&amp;L Input'!D11</f>
        <v>-718733</v>
      </c>
      <c r="D70" s="259" t="n">
        <f aca="false">'P&amp;L Input'!E11</f>
        <v>-776510</v>
      </c>
      <c r="E70" s="262" t="n">
        <f aca="false">-'Proj Schedules'!C32</f>
        <v>-664630.9936</v>
      </c>
      <c r="F70" s="262" t="n">
        <f aca="false">-'Proj Schedules'!D32</f>
        <v>-604512.1936</v>
      </c>
      <c r="G70" s="262" t="n">
        <f aca="false">-'Proj Schedules'!E32</f>
        <v>-484893.3936</v>
      </c>
      <c r="H70" s="262" t="n">
        <f aca="false">-'Proj Schedules'!F32</f>
        <v>-296849.5936</v>
      </c>
      <c r="I70" s="262" t="n">
        <f aca="false">-'Proj Schedules'!G32</f>
        <v>-137556.1936</v>
      </c>
    </row>
    <row r="71" customFormat="false" ht="15" hidden="false" customHeight="true" outlineLevel="0" collapsed="false">
      <c r="A71" s="22" t="s">
        <v>631</v>
      </c>
      <c r="B71" s="259" t="n">
        <f aca="false">'P&amp;L Input'!C12</f>
        <v>-48772</v>
      </c>
      <c r="C71" s="259" t="n">
        <f aca="false">'P&amp;L Input'!D12</f>
        <v>266776</v>
      </c>
      <c r="D71" s="259" t="n">
        <f aca="false">'P&amp;L Input'!E12</f>
        <v>172459</v>
      </c>
      <c r="E71" s="262" t="n">
        <f aca="false">Assumptions!D113</f>
        <v>150000</v>
      </c>
      <c r="F71" s="262" t="n">
        <f aca="false">Assumptions!E113</f>
        <v>175000</v>
      </c>
      <c r="G71" s="262" t="n">
        <f aca="false">Assumptions!F113</f>
        <v>200000</v>
      </c>
      <c r="H71" s="262" t="n">
        <f aca="false">Assumptions!G113</f>
        <v>225000</v>
      </c>
      <c r="I71" s="262" t="n">
        <f aca="false">Assumptions!H113</f>
        <v>250000</v>
      </c>
    </row>
    <row r="72" customFormat="false" ht="15" hidden="false" customHeight="true" outlineLevel="0" collapsed="false">
      <c r="A72" s="1" t="s">
        <v>632</v>
      </c>
      <c r="B72" s="246" t="n">
        <f aca="false">B68+B70+B71</f>
        <v>6205405</v>
      </c>
      <c r="C72" s="246" t="n">
        <f aca="false">C68+C70+C71</f>
        <v>9965657</v>
      </c>
      <c r="D72" s="246" t="n">
        <f aca="false">D68+D70+D71</f>
        <v>12722552</v>
      </c>
      <c r="E72" s="246" t="n">
        <f aca="false">E68+E70+E71</f>
        <v>14910723.3363419</v>
      </c>
      <c r="F72" s="246" t="n">
        <f aca="false">F68+F70+F71</f>
        <v>17342569.5988662</v>
      </c>
      <c r="G72" s="246" t="n">
        <f aca="false">G68+G70+G71</f>
        <v>20108523.6243649</v>
      </c>
      <c r="H72" s="246" t="n">
        <f aca="false">H68+H70+H71</f>
        <v>23179909.2800358</v>
      </c>
      <c r="I72" s="246" t="n">
        <f aca="false">I68+I70+I71</f>
        <v>26544350.2684147</v>
      </c>
    </row>
    <row r="73" customFormat="false" ht="15" hidden="false" customHeight="true" outlineLevel="0" collapsed="false">
      <c r="A73" s="22" t="s">
        <v>633</v>
      </c>
      <c r="B73" s="259" t="n">
        <f aca="false">'P&amp;L Input'!C14</f>
        <v>-797415</v>
      </c>
      <c r="C73" s="259" t="n">
        <f aca="false">'P&amp;L Input'!D14</f>
        <v>-1254026</v>
      </c>
      <c r="D73" s="259" t="n">
        <f aca="false">'P&amp;L Input'!E14</f>
        <v>-1741351</v>
      </c>
      <c r="E73" s="262" t="n">
        <f aca="false">-E72*Assumptions!D121</f>
        <v>-1966291.99708675</v>
      </c>
      <c r="F73" s="262" t="n">
        <f aca="false">-F72*Assumptions!E121</f>
        <v>-2252296.85637436</v>
      </c>
      <c r="G73" s="262" t="n">
        <f aca="false">-G72*Assumptions!F121</f>
        <v>-2551188.5007468</v>
      </c>
      <c r="H73" s="262" t="n">
        <f aca="false">-H72*Assumptions!G121</f>
        <v>-2894498.45170735</v>
      </c>
      <c r="I73" s="262" t="n">
        <f aca="false">-I72*Assumptions!H121</f>
        <v>-3234986.51156197</v>
      </c>
    </row>
    <row r="74" customFormat="false" ht="15" hidden="false" customHeight="true" outlineLevel="0" collapsed="false">
      <c r="A74" s="19" t="s">
        <v>634</v>
      </c>
      <c r="B74" s="261" t="n">
        <f aca="false">B72+B73</f>
        <v>5407990</v>
      </c>
      <c r="C74" s="261" t="n">
        <f aca="false">C72+C73</f>
        <v>8711631</v>
      </c>
      <c r="D74" s="261" t="n">
        <f aca="false">D72+D73</f>
        <v>10981201</v>
      </c>
      <c r="E74" s="261" t="n">
        <f aca="false">E72+E73</f>
        <v>12944431.3392552</v>
      </c>
      <c r="F74" s="261" t="n">
        <f aca="false">F72+F73</f>
        <v>15090272.7424919</v>
      </c>
      <c r="G74" s="261" t="n">
        <f aca="false">G72+G73</f>
        <v>17557335.1236181</v>
      </c>
      <c r="H74" s="261" t="n">
        <f aca="false">H72+H73</f>
        <v>20285410.8283284</v>
      </c>
      <c r="I74" s="261" t="n">
        <f aca="false">I72+I73</f>
        <v>23309363.7568528</v>
      </c>
    </row>
    <row r="75" customFormat="false" ht="15" hidden="false" customHeight="true" outlineLevel="0" collapsed="false">
      <c r="A75" s="1" t="s">
        <v>635</v>
      </c>
      <c r="B75" s="247" t="n">
        <f aca="false">B74/B56</f>
        <v>0.160363620437231</v>
      </c>
      <c r="C75" s="247" t="n">
        <f aca="false">C74/C56</f>
        <v>0.223369621152461</v>
      </c>
      <c r="D75" s="247" t="n">
        <f aca="false">D74/D56</f>
        <v>0.24303813935832</v>
      </c>
      <c r="E75" s="247" t="n">
        <f aca="false">E74/E56</f>
        <v>0.260096953009392</v>
      </c>
      <c r="F75" s="247" t="n">
        <f aca="false">F74/F56</f>
        <v>0.27506336293052</v>
      </c>
      <c r="G75" s="247" t="n">
        <f aca="false">G74/G56</f>
        <v>0.290088286464517</v>
      </c>
      <c r="H75" s="247" t="n">
        <f aca="false">H74/H56</f>
        <v>0.303557588044982</v>
      </c>
      <c r="I75" s="247" t="n">
        <f aca="false">I74/I56</f>
        <v>0.315660803380363</v>
      </c>
    </row>
    <row r="76" customFormat="false" ht="15" hidden="false" customHeight="true" outlineLevel="0" collapsed="false">
      <c r="A76" s="19" t="s">
        <v>636</v>
      </c>
      <c r="B76" s="259" t="n">
        <f aca="false">'CFS Input'!B20+'CFS Input'!B23</f>
        <v>6925749</v>
      </c>
      <c r="C76" s="259" t="n">
        <f aca="false">'CFS Input'!C20+'CFS Input'!C23</f>
        <v>6921826</v>
      </c>
      <c r="D76" s="259" t="n">
        <f aca="false">'CFS Input'!D20+'CFS Input'!D23</f>
        <v>9461053</v>
      </c>
      <c r="E76" s="260"/>
      <c r="F76" s="260"/>
      <c r="G76" s="260"/>
      <c r="H76" s="260"/>
      <c r="I76" s="260"/>
    </row>
  </sheetData>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04D"/>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5" zeroHeight="false" outlineLevelRow="0" outlineLevelCol="0"/>
  <sheetData>
    <row r="1" customFormat="false" ht="17.25" hidden="false" customHeight="true" outlineLevel="0" collapsed="false">
      <c r="A1" s="256" t="s">
        <v>639</v>
      </c>
    </row>
    <row r="2" customFormat="false" ht="15" hidden="false" customHeight="true" outlineLevel="0" collapsed="false">
      <c r="A2" s="22" t="s">
        <v>640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G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14.45703125" defaultRowHeight="14.25" zeroHeight="false" outlineLevelRow="0" outlineLevelCol="0"/>
  <cols>
    <col collapsed="false" customWidth="true" hidden="false" outlineLevel="0" max="1" min="1" style="15" width="40"/>
    <col collapsed="false" customWidth="true" hidden="false" outlineLevel="0" max="2" min="2" style="15" width="16"/>
    <col collapsed="false" customWidth="true" hidden="false" outlineLevel="0" max="13" min="3" style="15" width="46"/>
  </cols>
  <sheetData>
    <row r="1" customFormat="false" ht="14.25" hidden="false" customHeight="true" outlineLevel="0" collapsed="false">
      <c r="A1" s="266" t="s">
        <v>641</v>
      </c>
    </row>
    <row r="2" customFormat="false" ht="14.25" hidden="false" customHeight="true" outlineLevel="0" collapsed="false">
      <c r="A2" s="22" t="s">
        <v>642</v>
      </c>
      <c r="B2" s="17"/>
      <c r="C2" s="17"/>
      <c r="D2" s="17"/>
      <c r="E2" s="17"/>
      <c r="F2" s="17"/>
      <c r="G2" s="17"/>
    </row>
    <row r="3" customFormat="false" ht="14.25" hidden="false" customHeight="true" outlineLevel="0" collapsed="false">
      <c r="A3" s="267"/>
      <c r="B3" s="268"/>
      <c r="C3" s="17"/>
      <c r="D3" s="17"/>
      <c r="E3" s="17"/>
      <c r="F3" s="17"/>
      <c r="G3" s="17"/>
    </row>
    <row r="4" customFormat="false" ht="14.25" hidden="false" customHeight="true" outlineLevel="0" collapsed="false">
      <c r="A4" s="269" t="s">
        <v>643</v>
      </c>
      <c r="B4" s="270"/>
      <c r="C4" s="17"/>
      <c r="D4" s="17"/>
      <c r="E4" s="17"/>
      <c r="F4" s="17"/>
      <c r="G4" s="17"/>
    </row>
    <row r="5" customFormat="false" ht="14.25" hidden="false" customHeight="true" outlineLevel="0" collapsed="false">
      <c r="A5" s="271" t="s">
        <v>644</v>
      </c>
      <c r="B5" s="272" t="n">
        <v>0.045</v>
      </c>
      <c r="C5" s="22" t="s">
        <v>645</v>
      </c>
      <c r="D5" s="17"/>
      <c r="E5" s="17"/>
      <c r="F5" s="17"/>
      <c r="G5" s="17"/>
    </row>
    <row r="6" customFormat="false" ht="14.25" hidden="false" customHeight="true" outlineLevel="0" collapsed="false">
      <c r="A6" s="17" t="s">
        <v>646</v>
      </c>
      <c r="B6" s="273" t="n">
        <v>0.055</v>
      </c>
      <c r="C6" s="22" t="s">
        <v>647</v>
      </c>
      <c r="D6" s="17"/>
      <c r="E6" s="17"/>
      <c r="F6" s="17"/>
      <c r="G6" s="17"/>
    </row>
    <row r="7" customFormat="false" ht="14.25" hidden="false" customHeight="true" outlineLevel="0" collapsed="false">
      <c r="A7" s="274" t="s">
        <v>648</v>
      </c>
      <c r="B7" s="275" t="n">
        <v>1.23</v>
      </c>
      <c r="C7" s="22" t="s">
        <v>649</v>
      </c>
      <c r="D7" s="17"/>
      <c r="E7" s="17"/>
      <c r="F7" s="17"/>
      <c r="G7" s="17"/>
    </row>
    <row r="8" customFormat="false" ht="14.25" hidden="false" customHeight="true" outlineLevel="0" collapsed="false">
      <c r="A8" s="276" t="s">
        <v>650</v>
      </c>
      <c r="B8" s="277" t="n">
        <f aca="false">B5+B7*B6</f>
        <v>0.11265</v>
      </c>
      <c r="C8" s="17"/>
      <c r="D8" s="17"/>
      <c r="E8" s="17"/>
      <c r="F8" s="17"/>
      <c r="G8" s="17"/>
    </row>
    <row r="9" customFormat="false" ht="14.25" hidden="false" customHeight="true" outlineLevel="0" collapsed="false">
      <c r="A9" s="278"/>
      <c r="B9" s="270"/>
      <c r="C9" s="17"/>
      <c r="D9" s="46"/>
      <c r="E9" s="279"/>
      <c r="F9" s="279"/>
      <c r="G9" s="279"/>
    </row>
    <row r="10" customFormat="false" ht="14.25" hidden="false" customHeight="true" outlineLevel="0" collapsed="false">
      <c r="A10" s="269" t="s">
        <v>651</v>
      </c>
      <c r="B10" s="270"/>
      <c r="C10" s="17"/>
      <c r="D10" s="17"/>
      <c r="E10" s="17"/>
      <c r="F10" s="17"/>
      <c r="G10" s="17"/>
    </row>
    <row r="11" customFormat="false" ht="14.25" hidden="false" customHeight="true" outlineLevel="0" collapsed="false">
      <c r="A11" s="280" t="s">
        <v>652</v>
      </c>
      <c r="B11" s="281" t="n">
        <f aca="false">Debt!D55</f>
        <v>0.0476</v>
      </c>
      <c r="C11" s="22" t="s">
        <v>653</v>
      </c>
      <c r="D11" s="17"/>
      <c r="E11" s="17"/>
      <c r="F11" s="17"/>
      <c r="G11" s="17"/>
    </row>
    <row r="12" customFormat="false" ht="14.25" hidden="false" customHeight="true" outlineLevel="0" collapsed="false">
      <c r="A12" s="278" t="s">
        <v>654</v>
      </c>
      <c r="B12" s="282" t="n">
        <v>0.21</v>
      </c>
      <c r="C12" s="22" t="s">
        <v>655</v>
      </c>
      <c r="D12" s="17"/>
      <c r="E12" s="17"/>
      <c r="F12" s="17"/>
      <c r="G12" s="17"/>
    </row>
    <row r="13" customFormat="false" ht="14.25" hidden="false" customHeight="true" outlineLevel="0" collapsed="false">
      <c r="A13" s="283" t="s">
        <v>656</v>
      </c>
      <c r="B13" s="277" t="n">
        <f aca="false">B11*(1-B12)</f>
        <v>0.037604</v>
      </c>
      <c r="C13" s="17"/>
      <c r="D13" s="17"/>
      <c r="E13" s="17"/>
      <c r="F13" s="17"/>
      <c r="G13" s="17"/>
    </row>
    <row r="14" customFormat="false" ht="14.25" hidden="false" customHeight="true" outlineLevel="0" collapsed="false">
      <c r="A14" s="280"/>
      <c r="B14" s="284"/>
      <c r="C14" s="17"/>
      <c r="D14" s="17"/>
      <c r="E14" s="17"/>
      <c r="F14" s="17"/>
      <c r="G14" s="17"/>
    </row>
    <row r="15" customFormat="false" ht="14.25" hidden="false" customHeight="true" outlineLevel="0" collapsed="false">
      <c r="A15" s="269" t="s">
        <v>657</v>
      </c>
      <c r="B15" s="285"/>
      <c r="C15" s="17"/>
      <c r="D15" s="17"/>
      <c r="E15" s="17"/>
      <c r="F15" s="17"/>
      <c r="G15" s="17"/>
    </row>
    <row r="16" customFormat="false" ht="14.25" hidden="false" customHeight="true" outlineLevel="0" collapsed="false">
      <c r="A16" s="278" t="s">
        <v>658</v>
      </c>
      <c r="B16" s="286" t="n">
        <v>309000000</v>
      </c>
      <c r="C16" s="22" t="s">
        <v>659</v>
      </c>
      <c r="D16" s="17"/>
      <c r="E16" s="17"/>
      <c r="F16" s="17"/>
      <c r="G16" s="17"/>
    </row>
    <row r="17" customFormat="false" ht="14.25" hidden="false" customHeight="true" outlineLevel="0" collapsed="false">
      <c r="A17" s="280" t="s">
        <v>660</v>
      </c>
      <c r="B17" s="287" t="n">
        <f aca="false">'Balance Sheet Input'!D21+'Balance Sheet Input'!D24</f>
        <v>14462836</v>
      </c>
      <c r="C17" s="22" t="s">
        <v>661</v>
      </c>
      <c r="D17" s="17"/>
      <c r="E17" s="17"/>
      <c r="F17" s="17"/>
      <c r="G17" s="17"/>
    </row>
    <row r="18" customFormat="false" ht="14.25" hidden="false" customHeight="true" outlineLevel="0" collapsed="false">
      <c r="A18" s="271" t="s">
        <v>662</v>
      </c>
      <c r="B18" s="288" t="n">
        <f aca="false">B16+B17</f>
        <v>323462836</v>
      </c>
      <c r="C18" s="17"/>
      <c r="D18" s="17"/>
      <c r="E18" s="17"/>
      <c r="F18" s="17"/>
      <c r="G18" s="17"/>
    </row>
    <row r="19" customFormat="false" ht="14.25" hidden="false" customHeight="true" outlineLevel="0" collapsed="false">
      <c r="A19" s="1" t="s">
        <v>663</v>
      </c>
      <c r="B19" s="289" t="n">
        <f aca="false">B16/B18</f>
        <v>0.955287487802772</v>
      </c>
    </row>
    <row r="20" customFormat="false" ht="14.25" hidden="false" customHeight="true" outlineLevel="0" collapsed="false">
      <c r="A20" s="1" t="s">
        <v>664</v>
      </c>
      <c r="B20" s="289" t="n">
        <f aca="false">B17/B18</f>
        <v>0.0447125121972281</v>
      </c>
    </row>
    <row r="21" customFormat="false" ht="14.25" hidden="false" customHeight="true" outlineLevel="0" collapsed="false"/>
    <row r="22" customFormat="false" ht="14.25" hidden="false" customHeight="true" outlineLevel="0" collapsed="false">
      <c r="A22" s="41" t="s">
        <v>665</v>
      </c>
      <c r="B22" s="290" t="n">
        <f aca="false">B19*B8+B20*B13</f>
        <v>0.109294504809647</v>
      </c>
    </row>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G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4" activeCellId="0" sqref="B4"/>
    </sheetView>
  </sheetViews>
  <sheetFormatPr defaultColWidth="14.45703125" defaultRowHeight="14.25" zeroHeight="false" outlineLevelRow="0" outlineLevelCol="0"/>
  <cols>
    <col collapsed="false" customWidth="true" hidden="false" outlineLevel="0" max="1" min="1" style="15" width="42"/>
    <col collapsed="false" customWidth="true" hidden="false" outlineLevel="0" max="11" min="2" style="15" width="14"/>
  </cols>
  <sheetData>
    <row r="1" customFormat="false" ht="14.25" hidden="false" customHeight="true" outlineLevel="0" collapsed="false">
      <c r="A1" s="266" t="s">
        <v>666</v>
      </c>
    </row>
    <row r="2" customFormat="false" ht="14.25" hidden="false" customHeight="true" outlineLevel="0" collapsed="false">
      <c r="A2" s="22" t="str">
        <f aca="false">CONCATENATE("Scenario: ",'Model Control'!$C$4,"   |   WACC: ",TEXT(WACC!$B$22,"0.00%"))</f>
        <v>Scenario: Neutral Case   |   WACC: 10.93%</v>
      </c>
      <c r="B2" s="17"/>
      <c r="C2" s="17"/>
      <c r="D2" s="17"/>
      <c r="E2" s="17"/>
      <c r="F2" s="17"/>
      <c r="G2" s="17"/>
    </row>
    <row r="3" customFormat="false" ht="14.25" hidden="false" customHeight="true" outlineLevel="0" collapsed="false">
      <c r="A3" s="291" t="s">
        <v>667</v>
      </c>
      <c r="B3" s="292"/>
      <c r="C3" s="292"/>
      <c r="D3" s="292"/>
      <c r="E3" s="292"/>
      <c r="F3" s="17"/>
      <c r="G3" s="17"/>
    </row>
    <row r="4" customFormat="false" ht="14.25" hidden="false" customHeight="true" outlineLevel="0" collapsed="false">
      <c r="A4" s="35"/>
      <c r="B4" s="293" t="s">
        <v>668</v>
      </c>
      <c r="C4" s="294" t="s">
        <v>56</v>
      </c>
      <c r="D4" s="294" t="s">
        <v>57</v>
      </c>
      <c r="E4" s="294" t="s">
        <v>58</v>
      </c>
      <c r="F4" s="41" t="s">
        <v>59</v>
      </c>
      <c r="G4" s="41" t="s">
        <v>60</v>
      </c>
    </row>
    <row r="5" customFormat="false" ht="14.25" hidden="false" customHeight="true" outlineLevel="0" collapsed="false">
      <c r="A5" s="295" t="s">
        <v>669</v>
      </c>
      <c r="B5" s="296"/>
      <c r="C5" s="260" t="n">
        <f aca="false">'Projected PnL'!C10</f>
        <v>14564904.2502486</v>
      </c>
      <c r="D5" s="260" t="n">
        <f aca="false">'Projected PnL'!D10</f>
        <v>15974204.5308079</v>
      </c>
      <c r="E5" s="260" t="n">
        <f aca="false">'Projected PnL'!E10</f>
        <v>17522158.4426819</v>
      </c>
      <c r="F5" s="260" t="n">
        <f aca="false">'Projected PnL'!F10</f>
        <v>19222972.5665063</v>
      </c>
      <c r="G5" s="297" t="n">
        <f aca="false">'Projected PnL'!G10</f>
        <v>21092371.1720434</v>
      </c>
    </row>
    <row r="6" customFormat="false" ht="14.25" hidden="false" customHeight="true" outlineLevel="0" collapsed="false">
      <c r="A6" s="295" t="s">
        <v>670</v>
      </c>
      <c r="B6" s="17"/>
      <c r="C6" s="260" t="n">
        <f aca="false">-C5*'Proj Drivers'!C14</f>
        <v>-1993513.00963578</v>
      </c>
      <c r="D6" s="260" t="n">
        <f aca="false">-D5*'Proj Drivers'!D14</f>
        <v>-2186405.34833621</v>
      </c>
      <c r="E6" s="260" t="n">
        <f aca="false">-E5*'Proj Drivers'!E14</f>
        <v>-2398275.34820831</v>
      </c>
      <c r="F6" s="260" t="n">
        <f aca="false">-F5*'Proj Drivers'!F14</f>
        <v>-2631067.47815028</v>
      </c>
      <c r="G6" s="260" t="n">
        <f aca="false">-G5*'Proj Drivers'!G14</f>
        <v>-2886933.93468875</v>
      </c>
    </row>
    <row r="7" customFormat="false" ht="14.25" hidden="false" customHeight="true" outlineLevel="0" collapsed="false">
      <c r="A7" s="19" t="s">
        <v>671</v>
      </c>
      <c r="B7" s="17"/>
      <c r="C7" s="261" t="n">
        <f aca="false">C5+C6</f>
        <v>12571391.2406128</v>
      </c>
      <c r="D7" s="261" t="n">
        <f aca="false">D5+D6</f>
        <v>13787799.1824717</v>
      </c>
      <c r="E7" s="261" t="n">
        <f aca="false">E5+E6</f>
        <v>15123883.0944736</v>
      </c>
      <c r="F7" s="261" t="n">
        <f aca="false">F5+F6</f>
        <v>16591905.088356</v>
      </c>
      <c r="G7" s="261" t="n">
        <f aca="false">G5+G6</f>
        <v>18205437.2373546</v>
      </c>
    </row>
    <row r="8" customFormat="false" ht="14.25" hidden="false" customHeight="true" outlineLevel="0" collapsed="false">
      <c r="A8" s="295" t="s">
        <v>672</v>
      </c>
      <c r="B8" s="170"/>
      <c r="C8" s="260" t="n">
        <f aca="false">'Proj Schedules'!C21+'Proj Schedules'!C14</f>
        <v>16808474.8872011</v>
      </c>
      <c r="D8" s="260" t="n">
        <f aca="false">'Proj Schedules'!D21+'Proj Schedules'!D14</f>
        <v>18081674.11113</v>
      </c>
      <c r="E8" s="260" t="n">
        <f aca="false">'Proj Schedules'!E21+'Proj Schedules'!E14</f>
        <v>19688856.7818714</v>
      </c>
      <c r="F8" s="260" t="n">
        <f aca="false">'Proj Schedules'!F21+'Proj Schedules'!F14</f>
        <v>21557417.1528713</v>
      </c>
      <c r="G8" s="260" t="n">
        <f aca="false">'Proj Schedules'!G21+'Proj Schedules'!G14</f>
        <v>23660944.3369409</v>
      </c>
    </row>
    <row r="9" customFormat="false" ht="14.25" hidden="false" customHeight="true" outlineLevel="0" collapsed="false">
      <c r="A9" s="298" t="s">
        <v>673</v>
      </c>
      <c r="B9" s="17"/>
      <c r="C9" s="260" t="n">
        <f aca="false">'Projected CFS'!C20</f>
        <v>-728373.8919</v>
      </c>
      <c r="D9" s="260" t="n">
        <f aca="false">'Projected CFS'!D20</f>
        <v>-783184.891377</v>
      </c>
      <c r="E9" s="260" t="n">
        <f aca="false">'Projected CFS'!E20</f>
        <v>-842554.58985093</v>
      </c>
      <c r="F9" s="260" t="n">
        <f aca="false">'Projected CFS'!F20</f>
        <v>-906895.13817584</v>
      </c>
      <c r="G9" s="260" t="n">
        <f aca="false">'Projected CFS'!G20</f>
        <v>-976658.427399083</v>
      </c>
    </row>
    <row r="10" customFormat="false" ht="14.25" hidden="false" customHeight="true" outlineLevel="0" collapsed="false">
      <c r="A10" s="295" t="s">
        <v>674</v>
      </c>
      <c r="B10" s="170"/>
      <c r="C10" s="260" t="n">
        <f aca="false">-('Proj Schedules'!C13-'Proj Schedules'!C14)</f>
        <v>-2417082.7</v>
      </c>
      <c r="D10" s="260" t="n">
        <f aca="false">-('Proj Schedules'!D13-'Proj Schedules'!D14)</f>
        <v>-3089169.22</v>
      </c>
      <c r="E10" s="260" t="n">
        <f aca="false">-('Proj Schedules'!E13-'Proj Schedules'!E14)</f>
        <v>-3613275.267</v>
      </c>
      <c r="F10" s="260" t="n">
        <f aca="false">-('Proj Schedules'!F13-'Proj Schedules'!F14)</f>
        <v>-4082197.35620001</v>
      </c>
      <c r="G10" s="260" t="n">
        <f aca="false">-('Proj Schedules'!G13-'Proj Schedules'!G14)</f>
        <v>-4544214.37307001</v>
      </c>
    </row>
    <row r="11" customFormat="false" ht="14.25" hidden="false" customHeight="true" outlineLevel="0" collapsed="false">
      <c r="A11" s="298" t="s">
        <v>675</v>
      </c>
      <c r="B11" s="17"/>
      <c r="C11" s="260" t="n">
        <f aca="false">'Projected CFS'!C11+'Projected CFS'!C12+'Projected CFS'!C13+'Projected CFS'!C14+'Projected CFS'!C15+'Projected CFS'!C16</f>
        <v>-262904.181258751</v>
      </c>
      <c r="D11" s="260" t="n">
        <f aca="false">'Projected CFS'!D11+'Projected CFS'!D12+'Projected CFS'!D13+'Projected CFS'!D14+'Projected CFS'!D15+'Projected CFS'!D16</f>
        <v>-236638.94149382</v>
      </c>
      <c r="E11" s="260" t="n">
        <f aca="false">'Projected CFS'!E11+'Projected CFS'!E12+'Projected CFS'!E13+'Projected CFS'!E14+'Projected CFS'!E15+'Projected CFS'!E16</f>
        <v>-312501.748087111</v>
      </c>
      <c r="F11" s="260" t="n">
        <f aca="false">'Projected CFS'!F11+'Projected CFS'!F12+'Projected CFS'!F13+'Projected CFS'!F14+'Projected CFS'!F15+'Projected CFS'!F16</f>
        <v>-282100.168805067</v>
      </c>
      <c r="G11" s="260" t="n">
        <f aca="false">'Projected CFS'!G11+'Projected CFS'!G12+'Projected CFS'!G13+'Projected CFS'!G14+'Projected CFS'!G15+'Projected CFS'!G16</f>
        <v>-379933.361149792</v>
      </c>
    </row>
    <row r="12" customFormat="false" ht="14.25" hidden="false" customHeight="true" outlineLevel="0" collapsed="false">
      <c r="A12" s="35"/>
      <c r="B12" s="170"/>
      <c r="C12" s="170"/>
      <c r="D12" s="170"/>
      <c r="E12" s="170"/>
      <c r="F12" s="17"/>
      <c r="G12" s="17"/>
    </row>
    <row r="13" customFormat="false" ht="14.25" hidden="false" customHeight="true" outlineLevel="0" collapsed="false">
      <c r="A13" s="299" t="s">
        <v>676</v>
      </c>
      <c r="B13" s="170"/>
      <c r="C13" s="300" t="n">
        <f aca="false">C7+C8+C9+C10+C11</f>
        <v>25971505.3546551</v>
      </c>
      <c r="D13" s="300" t="n">
        <f aca="false">D7+D8+D9+D10+D11</f>
        <v>27760480.240731</v>
      </c>
      <c r="E13" s="300" t="n">
        <f aca="false">E7+E8+E9+E10+E11</f>
        <v>30044408.2714069</v>
      </c>
      <c r="F13" s="300" t="n">
        <f aca="false">F7+F8+F9+F10+F11</f>
        <v>32878129.5780464</v>
      </c>
      <c r="G13" s="300" t="n">
        <f aca="false">G7+G8+G9+G10+G11</f>
        <v>35965575.4126767</v>
      </c>
    </row>
    <row r="14" customFormat="false" ht="14.25" hidden="false" customHeight="true" outlineLevel="0" collapsed="false">
      <c r="A14" s="17"/>
      <c r="B14" s="17"/>
      <c r="C14" s="17"/>
      <c r="D14" s="17"/>
      <c r="E14" s="17"/>
      <c r="F14" s="17"/>
      <c r="G14" s="17"/>
    </row>
    <row r="15" customFormat="false" ht="14.25" hidden="false" customHeight="true" outlineLevel="0" collapsed="false">
      <c r="A15" s="298" t="s">
        <v>677</v>
      </c>
      <c r="B15" s="54"/>
      <c r="C15" s="301" t="n">
        <f aca="false">1</f>
        <v>1</v>
      </c>
      <c r="D15" s="301" t="n">
        <f aca="false">2</f>
        <v>2</v>
      </c>
      <c r="E15" s="301" t="n">
        <f aca="false">3</f>
        <v>3</v>
      </c>
      <c r="F15" s="301" t="n">
        <f aca="false">4</f>
        <v>4</v>
      </c>
      <c r="G15" s="301" t="n">
        <f aca="false">5</f>
        <v>5</v>
      </c>
    </row>
    <row r="16" customFormat="false" ht="14.25" hidden="false" customHeight="true" outlineLevel="0" collapsed="false">
      <c r="A16" s="302" t="s">
        <v>678</v>
      </c>
      <c r="B16" s="303"/>
      <c r="C16" s="304" t="n">
        <f aca="false">1/(1+WACC!$B$22)^C15</f>
        <v>0.901473860786499</v>
      </c>
      <c r="D16" s="304" t="n">
        <f aca="false">1/(1+WACC!$B$22)^D15</f>
        <v>0.812655121681317</v>
      </c>
      <c r="E16" s="304" t="n">
        <f aca="false">1/(1+WACC!$B$22)^E15</f>
        <v>0.732587350029979</v>
      </c>
      <c r="F16" s="304" t="n">
        <f aca="false">1/(1+WACC!$B$22)^F15</f>
        <v>0.660408346794875</v>
      </c>
      <c r="G16" s="304" t="n">
        <f aca="false">1/(1+WACC!$B$22)^G15</f>
        <v>0.595340862080805</v>
      </c>
    </row>
    <row r="17" customFormat="false" ht="14.25" hidden="false" customHeight="true" outlineLevel="0" collapsed="false">
      <c r="A17" s="39" t="s">
        <v>679</v>
      </c>
      <c r="B17" s="170"/>
      <c r="C17" s="261" t="n">
        <f aca="false">C13*C16</f>
        <v>23412633.2024982</v>
      </c>
      <c r="D17" s="261" t="n">
        <f aca="false">D13*D16</f>
        <v>22559696.447963</v>
      </c>
      <c r="E17" s="261" t="n">
        <f aca="false">E13*E16</f>
        <v>22010153.4387688</v>
      </c>
      <c r="F17" s="261" t="n">
        <f aca="false">F13*F16</f>
        <v>21712991.2003453</v>
      </c>
      <c r="G17" s="261" t="n">
        <f aca="false">G13*G16</f>
        <v>21411776.6714152</v>
      </c>
    </row>
    <row r="18" customFormat="false" ht="14.25" hidden="false" customHeight="true" outlineLevel="0" collapsed="false">
      <c r="A18" s="35"/>
      <c r="B18" s="170"/>
      <c r="C18" s="17"/>
      <c r="D18" s="141"/>
      <c r="E18" s="17"/>
      <c r="F18" s="17"/>
      <c r="G18" s="17"/>
    </row>
    <row r="19" customFormat="false" ht="14.25" hidden="false" customHeight="true" outlineLevel="0" collapsed="false">
      <c r="A19" s="305" t="s">
        <v>680</v>
      </c>
      <c r="B19" s="303"/>
      <c r="C19" s="261" t="n">
        <f aca="false">SUM(C17:G17)</f>
        <v>111107250.96099</v>
      </c>
      <c r="D19" s="141"/>
      <c r="E19" s="17"/>
      <c r="F19" s="17"/>
      <c r="G19" s="17"/>
    </row>
    <row r="20" customFormat="false" ht="14.25" hidden="false" customHeight="true" outlineLevel="0" collapsed="false"/>
    <row r="21" customFormat="false" ht="14.25" hidden="false" customHeight="true" outlineLevel="0" collapsed="false">
      <c r="A21" s="41" t="s">
        <v>681</v>
      </c>
    </row>
    <row r="22" customFormat="false" ht="14.25" hidden="false" customHeight="true" outlineLevel="0" collapsed="false">
      <c r="A22" s="17" t="s">
        <v>682</v>
      </c>
      <c r="C22" s="273" t="n">
        <v>0.03</v>
      </c>
    </row>
    <row r="23" customFormat="false" ht="14.25" hidden="false" customHeight="true" outlineLevel="0" collapsed="false">
      <c r="A23" s="22" t="s">
        <v>683</v>
      </c>
    </row>
    <row r="24" customFormat="false" ht="14.25" hidden="false" customHeight="true" outlineLevel="0" collapsed="false">
      <c r="A24" s="17" t="s">
        <v>684</v>
      </c>
      <c r="C24" s="246" t="n">
        <f aca="false">G13*(1+C22)</f>
        <v>37044542.675057</v>
      </c>
    </row>
    <row r="25" customFormat="false" ht="14.25" hidden="false" customHeight="true" outlineLevel="0" collapsed="false">
      <c r="A25" s="17" t="s">
        <v>685</v>
      </c>
      <c r="C25" s="246" t="n">
        <f aca="false">C24/(WACC!$B$22-C22)</f>
        <v>467176669.606369</v>
      </c>
    </row>
    <row r="26" customFormat="false" ht="14.25" hidden="false" customHeight="true" outlineLevel="0" collapsed="false">
      <c r="A26" s="19" t="s">
        <v>686</v>
      </c>
      <c r="C26" s="261" t="n">
        <f aca="false">C25*G16</f>
        <v>278129361.227495</v>
      </c>
    </row>
    <row r="27" customFormat="false" ht="14.25" hidden="false" customHeight="true" outlineLevel="0" collapsed="false"/>
    <row r="28" customFormat="false" ht="14.25" hidden="false" customHeight="true" outlineLevel="0" collapsed="false">
      <c r="A28" s="41" t="s">
        <v>687</v>
      </c>
      <c r="C28" s="306" t="n">
        <f aca="false">C19+C26</f>
        <v>389236612.188486</v>
      </c>
    </row>
    <row r="29" customFormat="false" ht="14.25" hidden="false" customHeight="true" outlineLevel="0" collapsed="false">
      <c r="A29" s="17" t="s">
        <v>688</v>
      </c>
      <c r="C29" s="307" t="n">
        <f aca="false">C26/C28</f>
        <v>0.714550873474391</v>
      </c>
    </row>
    <row r="30" customFormat="false" ht="14.25" hidden="false" customHeight="true" outlineLevel="0" collapsed="false"/>
    <row r="31" customFormat="false" ht="14.25" hidden="false" customHeight="true" outlineLevel="0" collapsed="false">
      <c r="A31" s="17" t="s">
        <v>689</v>
      </c>
      <c r="C31" s="259" t="n">
        <f aca="false">-('Balance Sheet Input'!D21+'Balance Sheet Input'!D24)</f>
        <v>-14462836</v>
      </c>
    </row>
    <row r="32" customFormat="false" ht="14.25" hidden="false" customHeight="true" outlineLevel="0" collapsed="false">
      <c r="A32" s="17" t="s">
        <v>690</v>
      </c>
      <c r="C32" s="259" t="n">
        <f aca="false">'Balance Sheet Input'!D6+'Balance Sheet Input'!D7</f>
        <v>9062359</v>
      </c>
    </row>
    <row r="33" customFormat="false" ht="14.25" hidden="false" customHeight="true" outlineLevel="0" collapsed="false">
      <c r="A33" s="41" t="s">
        <v>691</v>
      </c>
      <c r="C33" s="306" t="n">
        <f aca="false">C28+C31+C32</f>
        <v>383836135.188486</v>
      </c>
    </row>
    <row r="34" customFormat="false" ht="14.25" hidden="false" customHeight="true" outlineLevel="0" collapsed="false"/>
    <row r="35" customFormat="false" ht="14.25" hidden="false" customHeight="true" outlineLevel="0" collapsed="false">
      <c r="A35" s="17" t="s">
        <v>692</v>
      </c>
      <c r="C35" s="308" t="n">
        <v>4343863</v>
      </c>
    </row>
    <row r="36" customFormat="false" ht="14.25" hidden="false" customHeight="true" outlineLevel="0" collapsed="false">
      <c r="A36" s="22" t="s">
        <v>693</v>
      </c>
    </row>
    <row r="37" customFormat="false" ht="14.25" hidden="false" customHeight="true" outlineLevel="0" collapsed="false">
      <c r="A37" s="309" t="s">
        <v>589</v>
      </c>
      <c r="C37" s="310" t="n">
        <f aca="false">C33/C35</f>
        <v>88.3628547190566</v>
      </c>
    </row>
    <row r="38" customFormat="false" ht="14.25" hidden="false" customHeight="true" outlineLevel="0" collapsed="false">
      <c r="A38" s="17" t="s">
        <v>694</v>
      </c>
      <c r="C38" s="311" t="n">
        <v>73.42</v>
      </c>
    </row>
    <row r="39" customFormat="false" ht="14.25" hidden="false" customHeight="true" outlineLevel="0" collapsed="false">
      <c r="A39" s="22" t="s">
        <v>695</v>
      </c>
    </row>
    <row r="40" customFormat="false" ht="14.25" hidden="false" customHeight="true" outlineLevel="0" collapsed="false">
      <c r="A40" s="17" t="s">
        <v>696</v>
      </c>
      <c r="C40" s="312" t="n">
        <f aca="false">C37/C38-1</f>
        <v>0.203525670376691</v>
      </c>
    </row>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2021-11-01T12:20:11Z</dcterms:created>
  <dc:creator>sayamgudhka24@gmail.com</dc:creator>
  <dc:description/>
  <dc:language>en-US</dc:language>
  <cp:lastModifiedBy/>
  <dcterms:modified xsi:type="dcterms:W3CDTF">2026-07-12T18:28:05Z</dcterms:modified>
  <cp:revision>12</cp:revision>
  <dc:subject/>
  <dc:title>TUTEDUDE FMV ASSIGNMENT</dc:title>
</cp:coreProperties>
</file>

<file path=docProps/custom.xml><?xml version="1.0" encoding="utf-8"?>
<Properties xmlns="http://schemas.openxmlformats.org/officeDocument/2006/custom-properties" xmlns:vt="http://schemas.openxmlformats.org/officeDocument/2006/docPropsVTypes"/>
</file>